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99f21a4ac9430f" /></Relationships>
</file>

<file path=xl/workbook.xml><?xml version="1.0" encoding="utf-8"?>
<x:workbook xmlns:x="http://schemas.openxmlformats.org/spreadsheetml/2006/main">
  <x:sheets>
    <x:sheet xmlns:r="http://schemas.openxmlformats.org/officeDocument/2006/relationships" name="Master Audit" sheetId="1" r:id="Ra9aac9034cb24fec"/>
    <x:sheet xmlns:r="http://schemas.openxmlformats.org/officeDocument/2006/relationships" name="Summary" sheetId="2" r:id="Rac525f47df2c4e9b"/>
    <x:sheet xmlns:r="http://schemas.openxmlformats.org/officeDocument/2006/relationships" name="Research Rules" sheetId="3" r:id="Rbe808ac018694459"/>
    <x:sheet xmlns:r="http://schemas.openxmlformats.org/officeDocument/2006/relationships" name="Deep Enrichment" sheetId="4" r:id="R5337f385fe3f45c5"/>
    <x:sheet xmlns:r="http://schemas.openxmlformats.org/officeDocument/2006/relationships" name="Structural Resolution" sheetId="5" r:id="Ra19e7c99b1234c08"/>
    <x:sheet xmlns:r="http://schemas.openxmlformats.org/officeDocument/2006/relationships" name="New Listing Candidates" sheetId="6" r:id="Rd27ce4c537c6473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6"/>
      <x:color rgb="FFFFFFFF"/>
      <x:name val="Carlito"/>
    </x:font>
  </x:fonts>
  <x:fills count="12">
    <x:fill>
      <x:patternFill patternType="none"/>
    </x:fill>
    <x:fill>
      <x:patternFill patternType="gray125"/>
    </x:fill>
    <x:fill>
      <x:patternFill patternType="solid">
        <x:fgColor rgb="FF10213D"/>
      </x:patternFill>
    </x:fill>
    <x:fill>
      <x:patternFill patternType="solid">
        <x:fgColor rgb="FFFF5F72"/>
      </x:patternFill>
    </x:fill>
    <x:fill>
      <x:patternFill patternType="solid">
        <x:fgColor rgb="FF10213D"/>
      </x:patternFill>
    </x:fill>
    <x:fill>
      <x:patternFill patternType="solid">
        <x:fgColor rgb="FF10213D"/>
      </x:patternFill>
    </x:fill>
    <x:fill>
      <x:patternFill patternType="solid">
        <x:fgColor rgb="FFFF5F72"/>
      </x:patternFill>
    </x:fill>
    <x:fill>
      <x:patternFill patternType="solid">
        <x:fgColor rgb="FF10213D"/>
      </x:patternFill>
    </x:fill>
    <x:fill>
      <x:patternFill patternType="solid">
        <x:fgColor rgb="FF10213D"/>
      </x:patternFill>
    </x:fill>
    <x:fill>
      <x:patternFill patternType="solid">
        <x:fgColor rgb="FFFF5F72"/>
      </x:patternFill>
    </x:fill>
    <x:fill>
      <x:patternFill patternType="solid">
        <x:fgColor rgb="FF10213D"/>
      </x:patternFill>
    </x:fill>
    <x:fill>
      <x:patternFill patternType="solid">
        <x:fgColor rgb="FFFF5F72"/>
      </x:patternFill>
    </x:fill>
  </x:fills>
  <x:borders count="2">
    <x:border/>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5" borderId="0" xfId="0" applyNumberFormat="1" applyFont="1" applyFill="1" applyBorder="1" applyAlignment="1">
      <x:alignment horizontal="center"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1" fillId="7" borderId="0" xfId="0" applyNumberFormat="1" applyFont="1" applyFill="1" applyBorder="1" applyAlignment="1">
      <x:alignment horizontal="center" vertical="top"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1" fillId="8" borderId="0" xfId="0" applyNumberFormat="1" applyFont="1" applyFill="1" applyBorder="1" applyAlignment="1">
      <x:alignment horizontal="center" vertical="top"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1" fillId="10" borderId="0" xfId="0" applyNumberFormat="1" applyFont="1" applyFill="1" applyBorder="1" applyAlignment="1">
      <x:alignment horizontal="center" vertical="top"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cellXfs>
  <x:cellStyles count="1">
    <x:cellStyle name="Normal" xfId="0"/>
  </x:cellStyles>
  <x:dxfs count="13">
    <x:dxf>
      <x:fill>
        <x:patternFill>
          <x:bgColor rgb="FFE9F7EF"/>
        </x:patternFill>
      </x:fill>
    </x:dxf>
    <x:dxf>
      <x:fill>
        <x:patternFill>
          <x:bgColor rgb="FFFFF4E5"/>
        </x:patternFill>
      </x:fill>
    </x:dxf>
    <x:dxf>
      <x:fill>
        <x:patternFill>
          <x:bgColor rgb="FFFFF4E5"/>
        </x:patternFill>
      </x:fill>
    </x:dxf>
    <x:dxf>
      <x:fill>
        <x:patternFill>
          <x:bgColor rgb="FFFDECEC"/>
        </x:patternFill>
      </x:fill>
    </x:dxf>
    <x:dxf>
      <x:fill>
        <x:patternFill>
          <x:bgColor rgb="FFFDECEC"/>
        </x:patternFill>
      </x:fill>
    </x:dxf>
    <x:dxf>
      <x:fill>
        <x:patternFill>
          <x:bgColor rgb="FFFFF4E5"/>
        </x:patternFill>
      </x:fill>
    </x:dxf>
    <x:dxf>
      <x:fill>
        <x:patternFill>
          <x:bgColor rgb="FFFFF4E5"/>
        </x:patternFill>
      </x:fill>
    </x:dxf>
    <x:dxf>
      <x:fill>
        <x:patternFill>
          <x:bgColor rgb="FFFFF4E5"/>
        </x:patternFill>
      </x:fill>
    </x:dxf>
    <x:dxf>
      <x:fill>
        <x:patternFill>
          <x:bgColor rgb="FFFFF4E5"/>
        </x:patternFill>
      </x:fill>
    </x:dxf>
    <x:dxf>
      <x:fill>
        <x:patternFill>
          <x:bgColor rgb="FFE9F7EF"/>
        </x:patternFill>
      </x:fill>
    </x:dxf>
    <x:dxf>
      <x:fill>
        <x:patternFill>
          <x:bgColor rgb="FFFDECEC"/>
        </x:patternFill>
      </x:fill>
    </x:dxf>
    <x:dxf>
      <x:fill>
        <x:patternFill patternType="solid">
          <x:bgColor rgb="FFFFF4E5"/>
        </x:patternFill>
      </x:fill>
    </x:dxf>
    <x:dxf>
      <x:fill>
        <x:patternFill patternType="solid">
          <x:bgColor rgb="FFFFF4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1e5c6680984b5c" /><Relationship Type="http://schemas.openxmlformats.org/officeDocument/2006/relationships/theme" Target="/xl/theme/theme1.xml" Id="R7a4ffcb8081b4c9c" /><Relationship Type="http://schemas.openxmlformats.org/officeDocument/2006/relationships/sharedStrings" Target="/xl/sharedStrings.xml" Id="R6fb2e2bff65c4678" /><Relationship Type="http://schemas.openxmlformats.org/officeDocument/2006/relationships/worksheet" Target="/xl/worksheets/sheet1.xml" Id="Ra9aac9034cb24fec" /><Relationship Type="http://schemas.openxmlformats.org/officeDocument/2006/relationships/worksheet" Target="/xl/worksheets/sheet2.xml" Id="Rac525f47df2c4e9b" /><Relationship Type="http://schemas.openxmlformats.org/officeDocument/2006/relationships/worksheet" Target="/xl/worksheets/sheet3.xml" Id="Rbe808ac018694459" /><Relationship Type="http://schemas.openxmlformats.org/officeDocument/2006/relationships/worksheet" Target="/xl/worksheets/sheet4.xml" Id="R5337f385fe3f45c5" /><Relationship Type="http://schemas.openxmlformats.org/officeDocument/2006/relationships/worksheet" Target="/xl/worksheets/sheet5.xml" Id="Ra19e7c99b1234c08" /><Relationship Type="http://schemas.openxmlformats.org/officeDocument/2006/relationships/worksheet" Target="/xl/worksheets/sheet6.xml" Id="Rd27ce4c537c64730" /></Relationships>
</file>

<file path=xl/tables/table1.xml><?xml version="1.0" encoding="utf-8"?>
<x:table xmlns:x="http://schemas.openxmlformats.org/spreadsheetml/2006/main" id="1" name="ProviderAudit" displayName="ProviderAudit" ref="A1:J67" headerRowCount="1" totalsRowCount="0" totalsRowShown="0">
  <x:tableColumns count="10">
    <x:tableColumn id="1" name="Legacy ID"/>
    <x:tableColumn id="2" name="Legacy name"/>
    <x:tableColumn id="3" name="Legacy type"/>
    <x:tableColumn id="4" name="2026 audit status"/>
    <x:tableColumn id="5" name="Current / target listing"/>
    <x:tableColumn id="6" name="Operator / relationship"/>
    <x:tableColumn id="7" name="Evidence note"/>
    <x:tableColumn id="8" name="Confidence"/>
    <x:tableColumn id="9" name="Primary source URL"/>
    <x:tableColumn id="10" name="Next action"/>
  </x:tableColumns>
  <x:tableStyleInfo name="TableStyleMedium2" showFirstColumn="0" showLastColumn="0" showRowStripes="1" showColumnStripes="0"/>
</x:table>
</file>

<file path=xl/tables/table2.xml><?xml version="1.0" encoding="utf-8"?>
<x:table xmlns:x="http://schemas.openxmlformats.org/spreadsheetml/2006/main" id="2" name="DeepEnrichmentTable" displayName="DeepEnrichmentTable" ref="A1:I16" headerRowCount="1" totalsRowCount="0" totalsRowShown="0">
  <x:tableColumns count="9">
    <x:tableColumn id="1" name="Legacy ID"/>
    <x:tableColumn id="2" name="Current listing"/>
    <x:tableColumn id="3" name="Verified address"/>
    <x:tableColumn id="4" name="Phone"/>
    <x:tableColumn id="5" name="Email"/>
    <x:tableColumn id="6" name="Verified services / attributes"/>
    <x:tableColumn id="7" name="Evidence note"/>
    <x:tableColumn id="8" name="Primary official source"/>
    <x:tableColumn id="9" name="Review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20a97f3796940f8" /></Relationships>
</file>

<file path=xl/worksheets/_rels/sheet4.xml.rels>&#65279;<?xml version="1.0" encoding="utf-8"?><Relationships xmlns="http://schemas.openxmlformats.org/package/2006/relationships"><Relationship Type="http://schemas.openxmlformats.org/officeDocument/2006/relationships/table" Target="/xl/tables/table2.xml" Id="R2387c352a59c4718" /></Relationships>
</file>

<file path=xl/worksheets/sheet1.xml><?xml version="1.0" encoding="utf-8"?>
<x:worksheet xmlns:x="http://schemas.openxmlformats.org/spreadsheetml/2006/main">
  <x:sheetFormatPr defaultRowHeight="15"/>
  <x:cols>
    <x:col min="1" max="1" width="22" hidden="0" customWidth="1"/>
    <x:col min="2" max="2" width="34" hidden="0" customWidth="1"/>
    <x:col min="3" max="3" width="12" hidden="0" customWidth="1"/>
    <x:col min="4" max="4" width="28" hidden="0" customWidth="1"/>
    <x:col min="5" max="5" width="34" hidden="0" customWidth="1"/>
    <x:col min="6" max="6" width="30" hidden="0" customWidth="1"/>
    <x:col min="7" max="7" width="58" hidden="0" customWidth="1"/>
    <x:col min="8" max="8" width="16" hidden="0" customWidth="1"/>
    <x:col min="9" max="9" width="46" hidden="0" customWidth="1"/>
    <x:col min="10" max="10" width="46" hidden="0" customWidth="1"/>
  </x:cols>
  <x:sheetData>
    <x:row r="1">
      <x:c r="A1" s="14" t="str">
        <x:v>Legacy ID</x:v>
      </x:c>
      <x:c r="B1" s="14" t="str">
        <x:v>Legacy name</x:v>
      </x:c>
      <x:c r="C1" s="14" t="str">
        <x:v>Legacy type</x:v>
      </x:c>
      <x:c r="D1" s="14" t="str">
        <x:v>2026 audit status</x:v>
      </x:c>
      <x:c r="E1" s="14" t="str">
        <x:v>Current / target listing</x:v>
      </x:c>
      <x:c r="F1" s="14" t="str">
        <x:v>Operator / relationship</x:v>
      </x:c>
      <x:c r="G1" s="14" t="str">
        <x:v>Evidence note</x:v>
      </x:c>
      <x:c r="H1" s="14" t="str">
        <x:v>Confidence</x:v>
      </x:c>
      <x:c r="I1" s="14" t="str">
        <x:v>Primary source URL</x:v>
      </x:c>
      <x:c r="J1" s="14" t="str">
        <x:v>Next action</x:v>
      </x:c>
    </x:row>
    <x:row r="2">
      <x:c r="A2" s="15" t="str">
        <x:v>ems-chateau-rive</x:v>
      </x:c>
      <x:c r="B2" s="15" t="str">
        <x:v>EMS Château de la Rive</x:v>
      </x:c>
      <x:c r="C2" s="15" t="str">
        <x:v>ems</x:v>
      </x:c>
      <x:c r="D2" s="15" t="str">
        <x:v>CONFIRMED — keep</x:v>
      </x:c>
      <x:c r="E2" s="15" t="str">
        <x:v>Château de la Rive / RIVE CHATEAU</x:v>
      </x:c>
      <x:c r="F2" s="15" t="str">
        <x:v>Château de la Rive SA</x:v>
      </x:c>
      <x:c r="G2" s="15" t="str">
        <x:v>2026 official list: 103 beds.</x:v>
      </x:c>
      <x:c r="H2" s="15" t="str">
        <x:v>High</x:v>
      </x:c>
      <x:c r="I2" s="15" t="str">
        <x:v>https://www.vd.ch/fileadmin/user_upload/themes/social/EMS/Documentation/Liste_officielle_2026.pdf</x:v>
      </x:c>
      <x:c r="J2" s="15" t="str">
        <x:v>Deep-enrich address/contact/services before publish.</x:v>
      </x:c>
    </x:row>
    <x:row r="3">
      <x:c r="A3" s="15" t="str">
        <x:v>ems-clair-soleil</x:v>
      </x:c>
      <x:c r="B3" s="15" t="str">
        <x:v>EMS Clair Soleil</x:v>
      </x:c>
      <x:c r="C3" s="15" t="str">
        <x:v>ems</x:v>
      </x:c>
      <x:c r="D3" s="15" t="str">
        <x:v>CONFIRMED — keep</x:v>
      </x:c>
      <x:c r="E3" s="15" t="str">
        <x:v>CLAIR-SOLEIL</x:v>
      </x:c>
      <x:c r="F3" s="15" t="str">
        <x:v>Asile des Aveugles</x:v>
      </x:c>
      <x:c r="G3" s="15" t="str">
        <x:v>2026 official list: 94 beds.</x:v>
      </x:c>
      <x:c r="H3" s="15" t="str">
        <x:v>High</x:v>
      </x:c>
      <x:c r="I3" s="15" t="str">
        <x:v>https://www.vd.ch/fileadmin/user_upload/themes/social/EMS/Documentation/Liste_officielle_2026.pdf</x:v>
      </x:c>
      <x:c r="J3" s="15" t="str">
        <x:v>Deep-enrich before publish.</x:v>
      </x:c>
    </x:row>
    <x:row r="4">
      <x:c r="A4" s="15" t="str">
        <x:v>ems-chantemerle</x:v>
      </x:c>
      <x:c r="B4" s="15" t="str">
        <x:v>EMS de Chantemerle</x:v>
      </x:c>
      <x:c r="C4" s="15" t="str">
        <x:v>ems</x:v>
      </x:c>
      <x:c r="D4" s="15" t="str">
        <x:v>CONFIRMED — keep</x:v>
      </x:c>
      <x:c r="E4" s="15" t="str">
        <x:v>CHANTEMERLE</x:v>
      </x:c>
      <x:c r="F4" s="15" t="str">
        <x:v>Résidences Odysse SA</x:v>
      </x:c>
      <x:c r="G4" s="15" t="str">
        <x:v>Current regional directory places it at Ch. de Chantemerle 3, 1010 Lausanne; legacy Lutry locality is stale.</x:v>
      </x:c>
      <x:c r="H4" s="15" t="str">
        <x:v>High</x:v>
      </x:c>
      <x:c r="I4" s="15" t="str">
        <x:v>https://www.reseau-sante-region-lausanne.ch/membres-ems/</x:v>
      </x:c>
      <x:c r="J4" s="15" t="str">
        <x:v>Correct locality/address; deep-enrich.</x:v>
      </x:c>
    </x:row>
    <x:row r="5">
      <x:c r="A5" s="15" t="str">
        <x:v>ems-boissonnet</x:v>
      </x:c>
      <x:c r="B5" s="15" t="str">
        <x:v>EMS Fondation Louis Boissonnet</x:v>
      </x:c>
      <x:c r="C5" s="15" t="str">
        <x:v>ems</x:v>
      </x:c>
      <x:c r="D5" s="15" t="str">
        <x:v>CONFIRMED — keep</x:v>
      </x:c>
      <x:c r="E5" s="15" t="str">
        <x:v>BOISSONNET</x:v>
      </x:c>
      <x:c r="F5" s="15" t="str">
        <x:v>Fondation Louis Boissonnet</x:v>
      </x:c>
      <x:c r="G5" s="15" t="str">
        <x:v>2026 official list: 106 beds.</x:v>
      </x:c>
      <x:c r="H5" s="15" t="str">
        <x:v>High</x:v>
      </x:c>
      <x:c r="I5" s="15" t="str">
        <x:v>https://www.vd.ch/fileadmin/user_upload/themes/social/EMS/Documentation/Liste_officielle_2026.pdf</x:v>
      </x:c>
      <x:c r="J5" s="15" t="str">
        <x:v>Deep-enrich.</x:v>
      </x:c>
    </x:row>
    <x:row r="6">
      <x:c r="A6" s="15" t="str">
        <x:v>ems-orme</x:v>
      </x:c>
      <x:c r="B6" s="15" t="str">
        <x:v>EMS Fondation de L'Orme</x:v>
      </x:c>
      <x:c r="C6" s="15" t="str">
        <x:v>ems</x:v>
      </x:c>
      <x:c r="D6" s="15" t="str">
        <x:v>SPLIT required</x:v>
      </x:c>
      <x:c r="E6" s="15" t="str">
        <x:v>EMS des Bossons + EMS Plaines-du-Loup/Mélodie</x:v>
      </x:c>
      <x:c r="F6" s="15" t="str">
        <x:v>Fondation de l'Orme</x:v>
      </x:c>
      <x:c r="G6" s="15" t="str">
        <x:v>2026 official list has BOSSONS (60) and PLAINES-DU-LOUP (30) as separate EMS.</x:v>
      </x:c>
      <x:c r="H6" s="15" t="str">
        <x:v>High</x:v>
      </x:c>
      <x:c r="I6" s="15" t="str">
        <x:v>https://www.vd.ch/fileadmin/user_upload/themes/social/EMS/Documentation/Liste_officielle_2026.pdf</x:v>
      </x:c>
      <x:c r="J6" s="15" t="str">
        <x:v>Replace generic legacy page with 2 establishment pages linked to one operator.</x:v>
      </x:c>
    </x:row>
    <x:row r="7">
      <x:c r="A7" s="15" t="str">
        <x:v>ems-joli-automne</x:v>
      </x:c>
      <x:c r="B7" s="15" t="str">
        <x:v>EMS Joli Automne</x:v>
      </x:c>
      <x:c r="C7" s="15" t="str">
        <x:v>ems</x:v>
      </x:c>
      <x:c r="D7" s="15" t="str">
        <x:v>CONFIRMED — keep</x:v>
      </x:c>
      <x:c r="E7" s="15" t="str">
        <x:v>JOLI AUTOMNE</x:v>
      </x:c>
      <x:c r="F7" s="15" t="str">
        <x:v>Tertianum Vaud SA</x:v>
      </x:c>
      <x:c r="G7" s="15" t="str">
        <x:v>2026 official list: 17 beds.</x:v>
      </x:c>
      <x:c r="H7" s="15" t="str">
        <x:v>High</x:v>
      </x:c>
      <x:c r="I7" s="15" t="str">
        <x:v>https://www.vd.ch/fileadmin/user_upload/themes/social/EMS/Documentation/Liste_officielle_2026.pdf</x:v>
      </x:c>
      <x:c r="J7" s="15" t="str">
        <x:v>Deep-enrich.</x:v>
      </x:c>
    </x:row>
    <x:row r="8">
      <x:c r="A8" s="15" t="str">
        <x:v>ems-oriel</x:v>
      </x:c>
      <x:c r="B8" s="15" t="str">
        <x:v>EMS L'Oriel</x:v>
      </x:c>
      <x:c r="C8" s="15" t="str">
        <x:v>ems</x:v>
      </x:c>
      <x:c r="D8" s="15" t="str">
        <x:v>TRANSITION review</x:v>
      </x:c>
      <x:c r="E8" s="15" t="str">
        <x:v>L'Oriel — status changing</x:v>
      </x:c>
      <x:c r="F8" s="15" t="str">
        <x:v>Unknown / transition</x:v>
      </x:c>
      <x:c r="G8" s="15" t="str">
        <x:v>Not in 2026 official EMS list; Canton has project to transform former EMS L'Oriel into EPSM. Other current directories still list the old EMS.</x:v>
      </x:c>
      <x:c r="H8" s="15" t="str">
        <x:v>Medium</x:v>
      </x:c>
      <x:c r="I8" s="15" t="str">
        <x:v>https://www.vd.ch/sante-soins-et-handicap/pour-les-professionnels/construire/projets-en-cours</x:v>
      </x:c>
      <x:c r="J8" s="15" t="str">
        <x:v>Do not publish as EMS until current operating status is confirmed.</x:v>
      </x:c>
    </x:row>
    <x:row r="9">
      <x:c r="A9" s="15" t="str">
        <x:v>ems-meridienne</x:v>
      </x:c>
      <x:c r="B9" s="15" t="str">
        <x:v>EMS La Méridienne – Fondation Primerose</x:v>
      </x:c>
      <x:c r="C9" s="15" t="str">
        <x:v>ems</x:v>
      </x:c>
      <x:c r="D9" s="15" t="str">
        <x:v>CONFIRMED — keep</x:v>
      </x:c>
      <x:c r="E9" s="15" t="str">
        <x:v>MERIDIENNE</x:v>
      </x:c>
      <x:c r="F9" s="15" t="str">
        <x:v>Fondation La Primerose</x:v>
      </x:c>
      <x:c r="G9" s="15" t="str">
        <x:v>2026 official list: 14 beds.</x:v>
      </x:c>
      <x:c r="H9" s="15" t="str">
        <x:v>High</x:v>
      </x:c>
      <x:c r="I9" s="15" t="str">
        <x:v>https://www.vd.ch/fileadmin/user_upload/themes/social/EMS/Documentation/Liste_officielle_2026.pdf</x:v>
      </x:c>
      <x:c r="J9" s="15" t="str">
        <x:v>Deep-enrich.</x:v>
      </x:c>
    </x:row>
    <x:row r="10">
      <x:c r="A10" s="15" t="str">
        <x:v>ems-naz</x:v>
      </x:c>
      <x:c r="B10" s="15" t="str">
        <x:v>EMS La Naz</x:v>
      </x:c>
      <x:c r="C10" s="15" t="str">
        <x:v>ems</x:v>
      </x:c>
      <x:c r="D10" s="15" t="str">
        <x:v>HISTORICAL / replace</x:v>
      </x:c>
      <x:c r="E10" s="15" t="str">
        <x:v>Fondation Donatella Mauri</x:v>
      </x:c>
      <x:c r="F10" s="15" t="str">
        <x:v>Fondation Donatella Mauri</x:v>
      </x:c>
      <x:c r="G10" s="15" t="str">
        <x:v>Foundation states EMS La Naz closed in 2009 and residents/staff moved to Romanel-sur-Lausanne.</x:v>
      </x:c>
      <x:c r="H10" s="15" t="str">
        <x:v>High</x:v>
      </x:c>
      <x:c r="I10" s="15" t="str">
        <x:v>https://donatellamauri.ch/histoire/</x:v>
      </x:c>
      <x:c r="J10" s="15" t="str">
        <x:v>Archive/redirect legacy identity to Donatella Mauri; never publish as active separate EMS.</x:v>
      </x:c>
    </x:row>
    <x:row r="11">
      <x:c r="A11" s="15" t="str">
        <x:v>ems-paix-soir</x:v>
      </x:c>
      <x:c r="B11" s="15" t="str">
        <x:v>EMS La Paix du Soir</x:v>
      </x:c>
      <x:c r="C11" s="15" t="str">
        <x:v>ems</x:v>
      </x:c>
      <x:c r="D11" s="15" t="str">
        <x:v>CONFIRMED — multi-offering</x:v>
      </x:c>
      <x:c r="E11" s="15" t="str">
        <x:v>PAIX SOIR</x:v>
      </x:c>
      <x:c r="F11" s="15" t="str">
        <x:v>Association La Paix du Soir</x:v>
      </x:c>
      <x:c r="G11" s="15" t="str">
        <x:v>2026 official list includes EMS (84 beds) and SPAH (30).</x:v>
      </x:c>
      <x:c r="H11" s="15" t="str">
        <x:v>High</x:v>
      </x:c>
      <x:c r="I11" s="15" t="str">
        <x:v>https://www.vd.ch/fileadmin/user_upload/themes/social/EMS/Documentation/Liste_officielle_2026.pdf</x:v>
      </x:c>
      <x:c r="J11" s="15" t="str">
        <x:v>Keep EMS page; model SPAH separately as another offering if Lia supports it.</x:v>
      </x:c>
    </x:row>
    <x:row r="12">
      <x:c r="A12" s="15" t="str">
        <x:v>ems-vernie</x:v>
      </x:c>
      <x:c r="B12" s="15" t="str">
        <x:v>EMS La Vernie</x:v>
      </x:c>
      <x:c r="C12" s="15" t="str">
        <x:v>ems</x:v>
      </x:c>
      <x:c r="D12" s="15" t="str">
        <x:v>CONFIRMED — multi-offering</x:v>
      </x:c>
      <x:c r="E12" s="15" t="str">
        <x:v>VERNIE</x:v>
      </x:c>
      <x:c r="F12" s="15" t="str">
        <x:v>Fondation La Primerose</x:v>
      </x:c>
      <x:c r="G12" s="15" t="str">
        <x:v>2026 official list: 75 total, including 30 EMS + 45 EPSM.</x:v>
      </x:c>
      <x:c r="H12" s="15" t="str">
        <x:v>High</x:v>
      </x:c>
      <x:c r="I12" s="15" t="str">
        <x:v>https://www.vd.ch/fileadmin/user_upload/themes/social/EMS/Documentation/Liste_officielle_2026.pdf</x:v>
      </x:c>
      <x:c r="J12" s="15" t="str">
        <x:v>Keep site; model EMS/EPSM offerings separately.</x:v>
      </x:c>
    </x:row>
    <x:row r="13">
      <x:c r="A13" s="15" t="str">
        <x:v>ems-grand-pre</x:v>
      </x:c>
      <x:c r="B13" s="15" t="str">
        <x:v>EMS Le Grand Pré – Fondation Primeroche</x:v>
      </x:c>
      <x:c r="C13" s="15" t="str">
        <x:v>ems</x:v>
      </x:c>
      <x:c r="D13" s="15" t="str">
        <x:v>CONFIRMED — multi-offering</x:v>
      </x:c>
      <x:c r="E13" s="15" t="str">
        <x:v>GRAND-PRE</x:v>
      </x:c>
      <x:c r="F13" s="15" t="str">
        <x:v>Fondation Primeroche</x:v>
      </x:c>
      <x:c r="G13" s="15" t="str">
        <x:v>2026 official list: 48 total, 34 EMS + 14 EPSM.</x:v>
      </x:c>
      <x:c r="H13" s="15" t="str">
        <x:v>High</x:v>
      </x:c>
      <x:c r="I13" s="15" t="str">
        <x:v>https://www.vd.ch/fileadmin/user_upload/themes/social/EMS/Documentation/Liste_officielle_2026.pdf</x:v>
      </x:c>
      <x:c r="J13" s="15" t="str">
        <x:v>Keep site; model multiple offerings.</x:v>
      </x:c>
    </x:row>
    <x:row r="14">
      <x:c r="A14" s="15" t="str">
        <x:v>ems-le-home</x:v>
      </x:c>
      <x:c r="B14" s="15" t="str">
        <x:v>EMS Le Home</x:v>
      </x:c>
      <x:c r="C14" s="15" t="str">
        <x:v>ems</x:v>
      </x:c>
      <x:c r="D14" s="15" t="str">
        <x:v>CONFIRMED — keep</x:v>
      </x:c>
      <x:c r="E14" s="15" t="str">
        <x:v>HOME</x:v>
      </x:c>
      <x:c r="F14" s="15" t="str">
        <x:v>EMS Le Home - Les Pins SA</x:v>
      </x:c>
      <x:c r="G14" s="15" t="str">
        <x:v>2026 official list: 31 beds.</x:v>
      </x:c>
      <x:c r="H14" s="15" t="str">
        <x:v>High</x:v>
      </x:c>
      <x:c r="I14" s="15" t="str">
        <x:v>https://www.vd.ch/fileadmin/user_upload/themes/social/EMS/Documentation/Liste_officielle_2026.pdf</x:v>
      </x:c>
      <x:c r="J14" s="15" t="str">
        <x:v>Link to same operator as Les Pins.</x:v>
      </x:c>
    </x:row>
    <x:row r="15">
      <x:c r="A15" s="15" t="str">
        <x:v>ems-marronnier</x:v>
      </x:c>
      <x:c r="B15" s="15" t="str">
        <x:v>EMS Le Marronnier</x:v>
      </x:c>
      <x:c r="C15" s="15" t="str">
        <x:v>ems</x:v>
      </x:c>
      <x:c r="D15" s="15" t="str">
        <x:v>CONFIRMED — keep</x:v>
      </x:c>
      <x:c r="E15" s="15" t="str">
        <x:v>MARRONNIER</x:v>
      </x:c>
      <x:c r="F15" s="15" t="str">
        <x:v>Fondation Le Marronnier</x:v>
      </x:c>
      <x:c r="G15" s="15" t="str">
        <x:v>2026 official list: 56 beds.</x:v>
      </x:c>
      <x:c r="H15" s="15" t="str">
        <x:v>High</x:v>
      </x:c>
      <x:c r="I15" s="15" t="str">
        <x:v>https://www.vd.ch/fileadmin/user_upload/themes/social/EMS/Documentation/Liste_officielle_2026.pdf</x:v>
      </x:c>
      <x:c r="J15" s="15" t="str">
        <x:v>Deep-enrich; add missing sibling site Le Tilleul separately.</x:v>
      </x:c>
    </x:row>
    <x:row r="16">
      <x:c r="A16" s="15" t="str">
        <x:v>ems-signal</x:v>
      </x:c>
      <x:c r="B16" s="15" t="str">
        <x:v>EMS Le Signal</x:v>
      </x:c>
      <x:c r="C16" s="15" t="str">
        <x:v>ems</x:v>
      </x:c>
      <x:c r="D16" s="15" t="str">
        <x:v>CONFIRMED — keep</x:v>
      </x:c>
      <x:c r="E16" s="15" t="str">
        <x:v>SIGNAL</x:v>
      </x:c>
      <x:c r="F16" s="15" t="str">
        <x:v>Fondation EMS du Jorat</x:v>
      </x:c>
      <x:c r="G16" s="15" t="str">
        <x:v>2026 official list: 24 beds.</x:v>
      </x:c>
      <x:c r="H16" s="15" t="str">
        <x:v>High</x:v>
      </x:c>
      <x:c r="I16" s="15" t="str">
        <x:v>https://www.vd.ch/fileadmin/user_upload/themes/social/EMS/Documentation/Liste_officielle_2026.pdf</x:v>
      </x:c>
      <x:c r="J16" s="15" t="str">
        <x:v>Deep-enrich.</x:v>
      </x:c>
    </x:row>
    <x:row r="17">
      <x:c r="A17" s="15" t="str">
        <x:v>ems-arcades</x:v>
      </x:c>
      <x:c r="B17" s="15" t="str">
        <x:v>EMS Les Arcades – Groupe Odysse</x:v>
      </x:c>
      <x:c r="C17" s="15" t="str">
        <x:v>ems</x:v>
      </x:c>
      <x:c r="D17" s="15" t="str">
        <x:v>CONFIRMED — keep</x:v>
      </x:c>
      <x:c r="E17" s="15" t="str">
        <x:v>ARCADES</x:v>
      </x:c>
      <x:c r="F17" s="15" t="str">
        <x:v>Résidences Odysse SA</x:v>
      </x:c>
      <x:c r="G17" s="15" t="str">
        <x:v>2026 official list: 29 beds.</x:v>
      </x:c>
      <x:c r="H17" s="15" t="str">
        <x:v>High</x:v>
      </x:c>
      <x:c r="I17" s="15" t="str">
        <x:v>https://www.vd.ch/fileadmin/user_upload/themes/social/EMS/Documentation/Liste_officielle_2026.pdf</x:v>
      </x:c>
      <x:c r="J17" s="15" t="str">
        <x:v>Link to Odysse operator; deep-enrich.</x:v>
      </x:c>
    </x:row>
    <x:row r="18">
      <x:c r="A18" s="15" t="str">
        <x:v>ems-aubepines</x:v>
      </x:c>
      <x:c r="B18" s="15" t="str">
        <x:v>EMS Les Aubépines – SISP</x:v>
      </x:c>
      <x:c r="C18" s="15" t="str">
        <x:v>ems</x:v>
      </x:c>
      <x:c r="D18" s="15" t="str">
        <x:v>RECLASSIFY</x:v>
      </x:c>
      <x:c r="E18" s="15" t="str">
        <x:v>AUBEPINES</x:v>
      </x:c>
      <x:c r="F18" s="15" t="str">
        <x:v>SISP SA</x:v>
      </x:c>
      <x:c r="G18" s="15" t="str">
        <x:v>2026 official list classifies AUBEPINES as EPSM, 18 beds, not EMS.</x:v>
      </x:c>
      <x:c r="H18" s="15" t="str">
        <x:v>High</x:v>
      </x:c>
      <x:c r="I18" s="15" t="str">
        <x:v>https://www.vd.ch/fileadmin/user_upload/themes/social/EMS/Documentation/Liste_officielle_2026.pdf</x:v>
      </x:c>
      <x:c r="J18" s="15" t="str">
        <x:v>Remove from EMS search; decide whether EPSM belongs in Lia scope.</x:v>
      </x:c>
    </x:row>
    <x:row r="19">
      <x:c r="A19" s="15" t="str">
        <x:v>ems-boveresses</x:v>
      </x:c>
      <x:c r="B19" s="15" t="str">
        <x:v>EMS Les Boveresses</x:v>
      </x:c>
      <x:c r="C19" s="15" t="str">
        <x:v>ems</x:v>
      </x:c>
      <x:c r="D19" s="15" t="str">
        <x:v>CONFIRMED — keep</x:v>
      </x:c>
      <x:c r="E19" s="15" t="str">
        <x:v>BOVERESSES</x:v>
      </x:c>
      <x:c r="F19" s="15" t="str">
        <x:v>Tertianum Vaud SA</x:v>
      </x:c>
      <x:c r="G19" s="15" t="str">
        <x:v>2026 official list: 42 beds.</x:v>
      </x:c>
      <x:c r="H19" s="15" t="str">
        <x:v>High</x:v>
      </x:c>
      <x:c r="I19" s="15" t="str">
        <x:v>https://www.vd.ch/fileadmin/user_upload/themes/social/EMS/Documentation/Liste_officielle_2026.pdf</x:v>
      </x:c>
      <x:c r="J19" s="15" t="str">
        <x:v>Deep-enrich.</x:v>
      </x:c>
    </x:row>
    <x:row r="20">
      <x:c r="A20" s="15" t="str">
        <x:v>ems-lys</x:v>
      </x:c>
      <x:c r="B20" s="15" t="str">
        <x:v>EMS Les Lys – Fondation Primeroche</x:v>
      </x:c>
      <x:c r="C20" s="15" t="str">
        <x:v>ems</x:v>
      </x:c>
      <x:c r="D20" s="15" t="str">
        <x:v>CONFIRMED — multi-offering</x:v>
      </x:c>
      <x:c r="E20" s="15" t="str">
        <x:v>LYS</x:v>
      </x:c>
      <x:c r="F20" s="15" t="str">
        <x:v>Fondation Primeroche</x:v>
      </x:c>
      <x:c r="G20" s="15" t="str">
        <x:v>2026 official list: 66 total, 36 EMS + 30 EPSM.</x:v>
      </x:c>
      <x:c r="H20" s="15" t="str">
        <x:v>High</x:v>
      </x:c>
      <x:c r="I20" s="15" t="str">
        <x:v>https://www.vd.ch/fileadmin/user_upload/themes/social/EMS/Documentation/Liste_officielle_2026.pdf</x:v>
      </x:c>
      <x:c r="J20" s="15" t="str">
        <x:v>Keep site; model multiple offerings.</x:v>
      </x:c>
    </x:row>
    <x:row r="21">
      <x:c r="A21" s="15" t="str">
        <x:v>ems-novalles</x:v>
      </x:c>
      <x:c r="B21" s="15" t="str">
        <x:v>EMS Les Novalles</x:v>
      </x:c>
      <x:c r="C21" s="15" t="str">
        <x:v>ems</x:v>
      </x:c>
      <x:c r="D21" s="15" t="str">
        <x:v>CONFIRMED — verify exact identity</x:v>
      </x:c>
      <x:c r="E21" s="15" t="str">
        <x:v>NOVALLES JBC</x:v>
      </x:c>
      <x:c r="F21" s="15" t="str">
        <x:v>EMS Les Novalles SA / JBC</x:v>
      </x:c>
      <x:c r="G21" s="15" t="str">
        <x:v>2026 official list has NOVALLES JBC (21) and NOVALLES CHATEAU (50); legacy Renens record aligns with the JBC site but address must be verified.</x:v>
      </x:c>
      <x:c r="H21" s="15" t="str">
        <x:v>Medium-High</x:v>
      </x:c>
      <x:c r="I21" s="15" t="str">
        <x:v>https://www.vd.ch/fileadmin/user_upload/themes/social/EMS/Documentation/Liste_officielle_2026.pdf</x:v>
      </x:c>
      <x:c r="J21" s="15" t="str">
        <x:v>Confirm exact address and operator before apply.</x:v>
      </x:c>
    </x:row>
    <x:row r="22">
      <x:c r="A22" s="15" t="str">
        <x:v>ems-pins</x:v>
      </x:c>
      <x:c r="B22" s="15" t="str">
        <x:v>EMS Les Pins</x:v>
      </x:c>
      <x:c r="C22" s="15" t="str">
        <x:v>ems</x:v>
      </x:c>
      <x:c r="D22" s="15" t="str">
        <x:v>CONFIRMED — keep</x:v>
      </x:c>
      <x:c r="E22" s="15" t="str">
        <x:v>PINS</x:v>
      </x:c>
      <x:c r="F22" s="15" t="str">
        <x:v>EMS Le Home - Les Pins SA</x:v>
      </x:c>
      <x:c r="G22" s="15" t="str">
        <x:v>2026 official list: 60 beds.</x:v>
      </x:c>
      <x:c r="H22" s="15" t="str">
        <x:v>High</x:v>
      </x:c>
      <x:c r="I22" s="15" t="str">
        <x:v>https://www.vd.ch/fileadmin/user_upload/themes/social/EMS/Documentation/Liste_officielle_2026.pdf</x:v>
      </x:c>
      <x:c r="J22" s="15" t="str">
        <x:v>Link to same operator as Le Home.</x:v>
      </x:c>
    </x:row>
    <x:row r="23">
      <x:c r="A23" s="15" t="str">
        <x:v>ems-meillerie</x:v>
      </x:c>
      <x:c r="B23" s="15" t="str">
        <x:v>EMS Meillerie – Fondation La Rozavère</x:v>
      </x:c>
      <x:c r="C23" s="15" t="str">
        <x:v>ems</x:v>
      </x:c>
      <x:c r="D23" s="15" t="str">
        <x:v>CONFIRMED — keep</x:v>
      </x:c>
      <x:c r="E23" s="15" t="str">
        <x:v>MEILLERIE</x:v>
      </x:c>
      <x:c r="F23" s="15" t="str">
        <x:v>Fondation La Rozavère</x:v>
      </x:c>
      <x:c r="G23" s="15" t="str">
        <x:v>2026 official list: 26 beds.</x:v>
      </x:c>
      <x:c r="H23" s="15" t="str">
        <x:v>High</x:v>
      </x:c>
      <x:c r="I23" s="15" t="str">
        <x:v>https://www.vd.ch/fileadmin/user_upload/themes/social/EMS/Documentation/Liste_officielle_2026.pdf</x:v>
      </x:c>
      <x:c r="J23" s="15" t="str">
        <x:v>Deep-enrich.</x:v>
      </x:c>
    </x:row>
    <x:row r="24">
      <x:c r="A24" s="15" t="str">
        <x:v>ems-odysse</x:v>
      </x:c>
      <x:c r="B24" s="15" t="str">
        <x:v>EMS Odysse SA</x:v>
      </x:c>
      <x:c r="C24" s="15" t="str">
        <x:v>ems</x:v>
      </x:c>
      <x:c r="D24" s="15" t="str">
        <x:v>CONFIRMED — keep</x:v>
      </x:c>
      <x:c r="E24" s="15" t="str">
        <x:v>ODYSSE</x:v>
      </x:c>
      <x:c r="F24" s="15" t="str">
        <x:v>Résidences Odysse SA</x:v>
      </x:c>
      <x:c r="G24" s="15" t="str">
        <x:v>2026 official list: 53 beds; RSRL gives Ch. de Crêt-de-Plan 122, 1093 Lutry.</x:v>
      </x:c>
      <x:c r="H24" s="15" t="str">
        <x:v>High</x:v>
      </x:c>
      <x:c r="I24" s="15" t="str">
        <x:v>https://www.reseau-sante-region-lausanne.ch/membres-ems/</x:v>
      </x:c>
      <x:c r="J24" s="15" t="str">
        <x:v>Use establishment identity, not just corporate name.</x:v>
      </x:c>
    </x:row>
    <x:row r="25">
      <x:c r="A25" s="15" t="str">
        <x:v>ems-valency</x:v>
      </x:c>
      <x:c r="B25" s="15" t="str">
        <x:v>EMS Parc de Valency – SISP</x:v>
      </x:c>
      <x:c r="C25" s="15" t="str">
        <x:v>ems</x:v>
      </x:c>
      <x:c r="D25" s="15" t="str">
        <x:v>CONFIRMED — operator correction</x:v>
      </x:c>
      <x:c r="E25" s="15" t="str">
        <x:v>PARC VALENCY</x:v>
      </x:c>
      <x:c r="F25" s="15" t="str">
        <x:v>Fondation de la Plaine</x:v>
      </x:c>
      <x:c r="G25" s="15" t="str">
        <x:v>2026 official list: 20 beds under Fondation de la Plaine; legacy SISP affiliation is stale/wrong.</x:v>
      </x:c>
      <x:c r="H25" s="15" t="str">
        <x:v>High</x:v>
      </x:c>
      <x:c r="I25" s="15" t="str">
        <x:v>https://www.vd.ch/fileadmin/user_upload/themes/social/EMS/Documentation/Liste_officielle_2026.pdf</x:v>
      </x:c>
      <x:c r="J25" s="15" t="str">
        <x:v>Correct operator relationship.</x:v>
      </x:c>
    </x:row>
    <x:row r="26">
      <x:c r="A26" s="15" t="str">
        <x:v>ems-petit-flon</x:v>
      </x:c>
      <x:c r="B26" s="15" t="str">
        <x:v>EMS Petit-Flon – Fondation Bois-Gentil</x:v>
      </x:c>
      <x:c r="C26" s="15" t="str">
        <x:v>ems</x:v>
      </x:c>
      <x:c r="D26" s="15" t="str">
        <x:v>CONFIRMED — keep</x:v>
      </x:c>
      <x:c r="E26" s="15" t="str">
        <x:v>PETIT FLON</x:v>
      </x:c>
      <x:c r="F26" s="15" t="str">
        <x:v>Fondation Bois-Gentil</x:v>
      </x:c>
      <x:c r="G26" s="15" t="str">
        <x:v>2026 official list: 77 beds.</x:v>
      </x:c>
      <x:c r="H26" s="15" t="str">
        <x:v>High</x:v>
      </x:c>
      <x:c r="I26" s="15" t="str">
        <x:v>https://www.vd.ch/fileadmin/user_upload/themes/social/EMS/Documentation/Liste_officielle_2026.pdf</x:v>
      </x:c>
      <x:c r="J26" s="15" t="str">
        <x:v>Deep-enrich; link sibling sites.</x:v>
      </x:c>
    </x:row>
    <x:row r="27">
      <x:c r="A27" s="15" t="str">
        <x:v>ems-pre-pariset</x:v>
      </x:c>
      <x:c r="B27" s="15" t="str">
        <x:v>EMS Pré Pariset</x:v>
      </x:c>
      <x:c r="C27" s="15" t="str">
        <x:v>ems</x:v>
      </x:c>
      <x:c r="D27" s="15" t="str">
        <x:v>CONFIRMED — keep</x:v>
      </x:c>
      <x:c r="E27" s="15" t="str">
        <x:v>PRE PARISET</x:v>
      </x:c>
      <x:c r="F27" s="15" t="str">
        <x:v>Fondation Pré Pariset</x:v>
      </x:c>
      <x:c r="G27" s="15" t="str">
        <x:v>2026 official list: 82 beds.</x:v>
      </x:c>
      <x:c r="H27" s="15" t="str">
        <x:v>High</x:v>
      </x:c>
      <x:c r="I27" s="15" t="str">
        <x:v>https://www.vd.ch/fileadmin/user_upload/themes/social/EMS/Documentation/Liste_officielle_2026.pdf</x:v>
      </x:c>
      <x:c r="J27" s="15" t="str">
        <x:v>Link sister sites Pré-de-la-Tour and missing Haute Combe.</x:v>
      </x:c>
    </x:row>
    <x:row r="28">
      <x:c r="A28" s="15" t="str">
        <x:v>ems-pre-tour</x:v>
      </x:c>
      <x:c r="B28" s="15" t="str">
        <x:v>EMS Pré-de-la-Tour</x:v>
      </x:c>
      <x:c r="C28" s="15" t="str">
        <x:v>ems</x:v>
      </x:c>
      <x:c r="D28" s="15" t="str">
        <x:v>CONFIRMED — keep</x:v>
      </x:c>
      <x:c r="E28" s="15" t="str">
        <x:v>PRE DE LA TOUR</x:v>
      </x:c>
      <x:c r="F28" s="15" t="str">
        <x:v>Fondation Pré Pariset</x:v>
      </x:c>
      <x:c r="G28" s="15" t="str">
        <x:v>2026 official list: 50 beds.</x:v>
      </x:c>
      <x:c r="H28" s="15" t="str">
        <x:v>High</x:v>
      </x:c>
      <x:c r="I28" s="15" t="str">
        <x:v>https://www.vd.ch/fileadmin/user_upload/themes/social/EMS/Documentation/Liste_officielle_2026.pdf</x:v>
      </x:c>
      <x:c r="J28" s="15" t="str">
        <x:v>Link sister sites.</x:v>
      </x:c>
    </x:row>
    <x:row r="29">
      <x:c r="A29" s="15" t="str">
        <x:v>ems-pre-fleuri</x:v>
      </x:c>
      <x:c r="B29" s="15" t="str">
        <x:v>EMS Pré-Fleuri</x:v>
      </x:c>
      <x:c r="C29" s="15" t="str">
        <x:v>ems</x:v>
      </x:c>
      <x:c r="D29" s="15" t="str">
        <x:v>CONFIRMED — keep</x:v>
      </x:c>
      <x:c r="E29" s="15" t="str">
        <x:v>PRE FLEURI</x:v>
      </x:c>
      <x:c r="F29" s="15" t="str">
        <x:v>NECC SA</x:v>
      </x:c>
      <x:c r="G29" s="15" t="str">
        <x:v>2026 official list: 53 beds.</x:v>
      </x:c>
      <x:c r="H29" s="15" t="str">
        <x:v>High</x:v>
      </x:c>
      <x:c r="I29" s="15" t="str">
        <x:v>https://www.vd.ch/fileadmin/user_upload/themes/social/EMS/Documentation/Liste_officielle_2026.pdf</x:v>
      </x:c>
      <x:c r="J29" s="15" t="str">
        <x:v>Deep-enrich.</x:v>
      </x:c>
    </x:row>
    <x:row r="30">
      <x:c r="A30" s="15" t="str">
        <x:v>ems-praz-sechaud</x:v>
      </x:c>
      <x:c r="B30" s="15" t="str">
        <x:v>EMS Résidence de Praz-Séchaud</x:v>
      </x:c>
      <x:c r="C30" s="15" t="str">
        <x:v>ems</x:v>
      </x:c>
      <x:c r="D30" s="15" t="str">
        <x:v>RECLASSIFY</x:v>
      </x:c>
      <x:c r="E30" s="15" t="str">
        <x:v>PRAZ SECHAUD II</x:v>
      </x:c>
      <x:c r="F30" s="15" t="str">
        <x:v>Fondation de la Plaine</x:v>
      </x:c>
      <x:c r="G30" s="15" t="str">
        <x:v>2026 official list classifies PRAZ SECHAUD II as EPSM, 18 beds; no current EMS Praz-Séchaud entry found.</x:v>
      </x:c>
      <x:c r="H30" s="15" t="str">
        <x:v>High</x:v>
      </x:c>
      <x:c r="I30" s="15" t="str">
        <x:v>https://www.vd.ch/fileadmin/user_upload/themes/social/EMS/Documentation/Liste_officielle_2026.pdf</x:v>
      </x:c>
      <x:c r="J30" s="15" t="str">
        <x:v>Remove from EMS category; confirm exact site identity.</x:v>
      </x:c>
    </x:row>
    <x:row r="31">
      <x:c r="A31" s="15" t="str">
        <x:v>ems-girarde</x:v>
      </x:c>
      <x:c r="B31" s="15" t="str">
        <x:v>EMS Résidence la Girarde</x:v>
      </x:c>
      <x:c r="C31" s="15" t="str">
        <x:v>ems</x:v>
      </x:c>
      <x:c r="D31" s="15" t="str">
        <x:v>CONFIRMED — keep</x:v>
      </x:c>
      <x:c r="E31" s="15" t="str">
        <x:v>GIRARDE</x:v>
      </x:c>
      <x:c r="F31" s="15" t="str">
        <x:v>Fondation du Relais</x:v>
      </x:c>
      <x:c r="G31" s="15" t="str">
        <x:v>2026 official list: 62 beds.</x:v>
      </x:c>
      <x:c r="H31" s="15" t="str">
        <x:v>High</x:v>
      </x:c>
      <x:c r="I31" s="15" t="str">
        <x:v>https://www.vd.ch/fileadmin/user_upload/themes/social/EMS/Documentation/Liste_officielle_2026.pdf</x:v>
      </x:c>
      <x:c r="J31" s="15" t="str">
        <x:v>Correct operator if needed; deep-enrich.</x:v>
      </x:c>
    </x:row>
    <x:row r="32">
      <x:c r="A32" s="15" t="str">
        <x:v>ems-tremieres</x:v>
      </x:c>
      <x:c r="B32" s="15" t="str">
        <x:v>EMS Résidence Les Trémières</x:v>
      </x:c>
      <x:c r="C32" s="15" t="str">
        <x:v>ems</x:v>
      </x:c>
      <x:c r="D32" s="15" t="str">
        <x:v>CONFIRMED — keep</x:v>
      </x:c>
      <x:c r="E32" s="15" t="str">
        <x:v>TREMIERES</x:v>
      </x:c>
      <x:c r="F32" s="15" t="str">
        <x:v>Résidence Les Trémières SA</x:v>
      </x:c>
      <x:c r="G32" s="15" t="str">
        <x:v>2026 official list: 28 beds.</x:v>
      </x:c>
      <x:c r="H32" s="15" t="str">
        <x:v>High</x:v>
      </x:c>
      <x:c r="I32" s="15" t="str">
        <x:v>https://www.vd.ch/fileadmin/user_upload/themes/social/EMS/Documentation/Liste_officielle_2026.pdf</x:v>
      </x:c>
      <x:c r="J32" s="15" t="str">
        <x:v>Deep-enrich.</x:v>
      </x:c>
    </x:row>
    <x:row r="33">
      <x:c r="A33" s="15" t="str">
        <x:v>ems-praz-joret</x:v>
      </x:c>
      <x:c r="B33" s="15" t="str">
        <x:v>EMS Résidence Praz Joret</x:v>
      </x:c>
      <x:c r="C33" s="15" t="str">
        <x:v>ems</x:v>
      </x:c>
      <x:c r="D33" s="15" t="str">
        <x:v>CONFIRMED — keep</x:v>
      </x:c>
      <x:c r="E33" s="15" t="str">
        <x:v>PRAZ JORET</x:v>
      </x:c>
      <x:c r="F33" s="15" t="str">
        <x:v>Fondation EMS du Jorat</x:v>
      </x:c>
      <x:c r="G33" s="15" t="str">
        <x:v>2026 official list: 26 beds.</x:v>
      </x:c>
      <x:c r="H33" s="15" t="str">
        <x:v>High</x:v>
      </x:c>
      <x:c r="I33" s="15" t="str">
        <x:v>https://www.vd.ch/fileadmin/user_upload/themes/social/EMS/Documentation/Liste_officielle_2026.pdf</x:v>
      </x:c>
      <x:c r="J33" s="15" t="str">
        <x:v>Deep-enrich.</x:v>
      </x:c>
    </x:row>
    <x:row r="34">
      <x:c r="A34" s="15" t="str">
        <x:v>ems-rozavere</x:v>
      </x:c>
      <x:c r="B34" s="15" t="str">
        <x:v>EMS Rozavère</x:v>
      </x:c>
      <x:c r="C34" s="15" t="str">
        <x:v>ems</x:v>
      </x:c>
      <x:c r="D34" s="15" t="str">
        <x:v>CONFIRMED — multi-offering</x:v>
      </x:c>
      <x:c r="E34" s="15" t="str">
        <x:v>ROZAVERE</x:v>
      </x:c>
      <x:c r="F34" s="15" t="str">
        <x:v>Fondation La Rozavère</x:v>
      </x:c>
      <x:c r="G34" s="15" t="str">
        <x:v>2026 official list includes EMS (161) plus SPAH (30).</x:v>
      </x:c>
      <x:c r="H34" s="15" t="str">
        <x:v>High</x:v>
      </x:c>
      <x:c r="I34" s="15" t="str">
        <x:v>https://www.vd.ch/fileadmin/user_upload/themes/social/EMS/Documentation/Liste_officielle_2026.pdf</x:v>
      </x:c>
      <x:c r="J34" s="15" t="str">
        <x:v>Keep EMS; model SPAH separately later.</x:v>
      </x:c>
    </x:row>
    <x:row r="35">
      <x:c r="A35" s="15" t="str">
        <x:v>ems-sauvabelin</x:v>
      </x:c>
      <x:c r="B35" s="15" t="str">
        <x:v>EMS Sauvabelin – Fondation Bois-Gentil</x:v>
      </x:c>
      <x:c r="C35" s="15" t="str">
        <x:v>ems</x:v>
      </x:c>
      <x:c r="D35" s="15" t="str">
        <x:v>CONFIRMED — keep</x:v>
      </x:c>
      <x:c r="E35" s="15" t="str">
        <x:v>SAUVABELIN</x:v>
      </x:c>
      <x:c r="F35" s="15" t="str">
        <x:v>Fondation Bois-Gentil</x:v>
      </x:c>
      <x:c r="G35" s="15" t="str">
        <x:v>2026 official list: 56 beds.</x:v>
      </x:c>
      <x:c r="H35" s="15" t="str">
        <x:v>High</x:v>
      </x:c>
      <x:c r="I35" s="15" t="str">
        <x:v>https://www.vd.ch/fileadmin/user_upload/themes/social/EMS/Documentation/Liste_officielle_2026.pdf</x:v>
      </x:c>
      <x:c r="J35" s="15" t="str">
        <x:v>Deep-enrich; link sibling sites.</x:v>
      </x:c>
    </x:row>
    <x:row r="36">
      <x:c r="A36" s="15" t="str">
        <x:v>epsm-borde</x:v>
      </x:c>
      <x:c r="B36" s="15" t="str">
        <x:v>EPSM Foyer de la Borde</x:v>
      </x:c>
      <x:c r="C36" s="15" t="str">
        <x:v>ems</x:v>
      </x:c>
      <x:c r="D36" s="15" t="str">
        <x:v>RECLASSIFY</x:v>
      </x:c>
      <x:c r="E36" s="15" t="str">
        <x:v>BORDE</x:v>
      </x:c>
      <x:c r="F36" s="15" t="str">
        <x:v>SISP SA</x:v>
      </x:c>
      <x:c r="G36" s="15" t="str">
        <x:v>2026 official list: EPSM, 25 beds.</x:v>
      </x:c>
      <x:c r="H36" s="15" t="str">
        <x:v>High</x:v>
      </x:c>
      <x:c r="I36" s="15" t="str">
        <x:v>https://www.vd.ch/fileadmin/user_upload/themes/social/EMS/Documentation/Liste_officielle_2026.pdf</x:v>
      </x:c>
      <x:c r="J36" s="15" t="str">
        <x:v>Change type; likely outside initial elderly-care search.</x:v>
      </x:c>
    </x:row>
    <x:row r="37">
      <x:c r="A37" s="15" t="str">
        <x:v>epsm-collonges</x:v>
      </x:c>
      <x:c r="B37" s="15" t="str">
        <x:v>EPSM La Maison Collonges</x:v>
      </x:c>
      <x:c r="C37" s="15" t="str">
        <x:v>ems</x:v>
      </x:c>
      <x:c r="D37" s="15" t="str">
        <x:v>RECLASSIFY</x:v>
      </x:c>
      <x:c r="E37" s="15" t="str">
        <x:v>MAISON COLLONGES</x:v>
      </x:c>
      <x:c r="F37" s="15" t="str">
        <x:v>La Maison d'Orphée SA</x:v>
      </x:c>
      <x:c r="G37" s="15" t="str">
        <x:v>2026 official list: EPSM, 15 beds.</x:v>
      </x:c>
      <x:c r="H37" s="15" t="str">
        <x:v>High</x:v>
      </x:c>
      <x:c r="I37" s="15" t="str">
        <x:v>https://www.vd.ch/fileadmin/user_upload/themes/social/EMS/Documentation/Liste_officielle_2026.pdf</x:v>
      </x:c>
      <x:c r="J37" s="15" t="str">
        <x:v>Change type; likely outside initial elderly-care search.</x:v>
      </x:c>
    </x:row>
    <x:row r="38">
      <x:c r="A38" s="15" t="str">
        <x:v>epsm-rouvraie</x:v>
      </x:c>
      <x:c r="B38" s="15" t="str">
        <x:v>EPSM La Maison de Rouvraie</x:v>
      </x:c>
      <x:c r="C38" s="15" t="str">
        <x:v>ems</x:v>
      </x:c>
      <x:c r="D38" s="15" t="str">
        <x:v>RECLASSIFY</x:v>
      </x:c>
      <x:c r="E38" s="15" t="str">
        <x:v>ROUVRAIE</x:v>
      </x:c>
      <x:c r="F38" s="15" t="str">
        <x:v>Fondation Deo Gratias</x:v>
      </x:c>
      <x:c r="G38" s="15" t="str">
        <x:v>2026 official list: EPSM, 16 beds.</x:v>
      </x:c>
      <x:c r="H38" s="15" t="str">
        <x:v>High</x:v>
      </x:c>
      <x:c r="I38" s="15" t="str">
        <x:v>https://www.vd.ch/fileadmin/user_upload/themes/social/EMS/Documentation/Liste_officielle_2026.pdf</x:v>
      </x:c>
      <x:c r="J38" s="15" t="str">
        <x:v>Change type; likely outside initial elderly-care search.</x:v>
      </x:c>
    </x:row>
    <x:row r="39">
      <x:c r="A39" s="15" t="str">
        <x:v>ems-mauri</x:v>
      </x:c>
      <x:c r="B39" s="15" t="str">
        <x:v>Fondation Donatella Mauri</x:v>
      </x:c>
      <x:c r="C39" s="15" t="str">
        <x:v>ems</x:v>
      </x:c>
      <x:c r="D39" s="15" t="str">
        <x:v>CONFIRMED — keep</x:v>
      </x:c>
      <x:c r="E39" s="15" t="str">
        <x:v>DONATELLA MAURI</x:v>
      </x:c>
      <x:c r="F39" s="15" t="str">
        <x:v>Fondation Donatella Mauri</x:v>
      </x:c>
      <x:c r="G39" s="15" t="str">
        <x:v>2026 official list: 58 beds. Foundation history confirms La Naz was closed and moved here.</x:v>
      </x:c>
      <x:c r="H39" s="15" t="str">
        <x:v>High</x:v>
      </x:c>
      <x:c r="I39" s="15" t="str">
        <x:v>https://donatellamauri.ch/histoire/</x:v>
      </x:c>
      <x:c r="J39" s="15" t="str">
        <x:v>Keep current establishment; archive La Naz relationship.</x:v>
      </x:c>
    </x:row>
    <x:row r="40">
      <x:c r="A40" s="15" t="str">
        <x:v>ems-mont-calme</x:v>
      </x:c>
      <x:c r="B40" s="15" t="str">
        <x:v>Fondation Mont-Calme</x:v>
      </x:c>
      <x:c r="C40" s="15" t="str">
        <x:v>ems</x:v>
      </x:c>
      <x:c r="D40" s="15" t="str">
        <x:v>HISTORICAL / replace</x:v>
      </x:c>
      <x:c r="E40" s="15" t="str">
        <x:v>BUGNON</x:v>
      </x:c>
      <x:c r="F40" s="15" t="str">
        <x:v>Fondation Clémence</x:v>
      </x:c>
      <x:c r="G40" s="15" t="str">
        <x:v>Current 2026 list has BUGNON (Fondation Clémence), 56 beds; Mont-Calme is no longer a current independent listing.</x:v>
      </x:c>
      <x:c r="H40" s="15" t="str">
        <x:v>High</x:v>
      </x:c>
      <x:c r="I40" s="15" t="str">
        <x:v>https://www.vd.ch/fileadmin/user_upload/themes/social/EMS/Documentation/Liste_officielle_2026.pdf</x:v>
      </x:c>
      <x:c r="J40" s="15" t="str">
        <x:v>Replace/redirect historical identity after confirming exact succession note.</x:v>
      </x:c>
    </x:row>
    <x:row r="41">
      <x:c r="A41" s="15" t="str">
        <x:v>ems-penates</x:v>
      </x:c>
      <x:c r="B41" s="15" t="str">
        <x:v>Home Fondation Nos Pénates</x:v>
      </x:c>
      <x:c r="C41" s="15" t="str">
        <x:v>ems</x:v>
      </x:c>
      <x:c r="D41" s="15" t="str">
        <x:v>RECLASSIFY / category review</x:v>
      </x:c>
      <x:c r="E41" s="15" t="str">
        <x:v>Fondation Nos Pénates</x:v>
      </x:c>
      <x:c r="F41" s="15" t="str">
        <x:v>Fondation Nos Pénates</x:v>
      </x:c>
      <x:c r="G41" s="15" t="str">
        <x:v>Provider calls itself a Home Non Médicalisé with 21 single rooms, plus home-care activities; it is not in the 2026 official EMS list.</x:v>
      </x:c>
      <x:c r="H41" s="15" t="str">
        <x:v>High</x:v>
      </x:c>
      <x:c r="I41" s="15" t="str">
        <x:v>https://nospenates.ch/</x:v>
      </x:c>
      <x:c r="J41" s="15" t="str">
        <x:v>Do not publish as EMS; decide best Lia category/model.</x:v>
      </x:c>
    </x:row>
    <x:row r="42">
      <x:c r="A42" s="15" t="str">
        <x:v>ems-bethanie</x:v>
      </x:c>
      <x:c r="B42" s="15" t="str">
        <x:v>Institution de Béthanie</x:v>
      </x:c>
      <x:c r="C42" s="15" t="str">
        <x:v>ems</x:v>
      </x:c>
      <x:c r="D42" s="15" t="str">
        <x:v>CONFIRMED — multi-offering</x:v>
      </x:c>
      <x:c r="E42" s="15" t="str">
        <x:v>BETHANIE</x:v>
      </x:c>
      <x:c r="F42" s="15" t="str">
        <x:v>Institution de Béthanie</x:v>
      </x:c>
      <x:c r="G42" s="15" t="str">
        <x:v>2026 official list: 120 EMS beds; provider also has protected apartments.</x:v>
      </x:c>
      <x:c r="H42" s="15" t="str">
        <x:v>High</x:v>
      </x:c>
      <x:c r="I42" s="15" t="str">
        <x:v>https://www.vd.ch/fileadmin/user_upload/themes/social/EMS/Documentation/Liste_officielle_2026.pdf</x:v>
      </x:c>
      <x:c r="J42" s="15" t="str">
        <x:v>Keep EMS page; model housing offering separately.</x:v>
      </x:c>
    </x:row>
    <x:row r="43">
      <x:c r="A43" s="15" t="str">
        <x:v>ems-ligniere</x:v>
      </x:c>
      <x:c r="B43" s="15" t="str">
        <x:v>EMS La Lignière</x:v>
      </x:c>
      <x:c r="C43" s="15" t="str">
        <x:v>ems</x:v>
      </x:c>
      <x:c r="D43" s="15" t="str">
        <x:v>RECLASSIFY</x:v>
      </x:c>
      <x:c r="E43" s="15" t="str">
        <x:v>La Lignière</x:v>
      </x:c>
      <x:c r="F43" s="15" t="str">
        <x:v>La Lignière</x:v>
      </x:c>
      <x:c r="G43" s="15" t="str">
        <x:v>Current provider presents a rehabilitation clinic, medical/therapy centres, psychiatry/psychology and home-care services; no 2026 EMS listing found.</x:v>
      </x:c>
      <x:c r="H43" s="15" t="str">
        <x:v>High</x:v>
      </x:c>
      <x:c r="I43" s="15" t="str">
        <x:v>https://la-ligniere.ch/</x:v>
      </x:c>
      <x:c r="J43" s="15" t="str">
        <x:v>Remove from EMS category; evaluate whether home-care service belongs in Lia.</x:v>
      </x:c>
    </x:row>
    <x:row r="44">
      <x:c r="A44" s="15" t="str">
        <x:v>ems-jardins-leman</x:v>
      </x:c>
      <x:c r="B44" s="15" t="str">
        <x:v>EMS Les Jardins du Léman – GHOL</x:v>
      </x:c>
      <x:c r="C44" s="15" t="str">
        <x:v>ems</x:v>
      </x:c>
      <x:c r="D44" s="15" t="str">
        <x:v>CONFIRMED — keep</x:v>
      </x:c>
      <x:c r="E44" s="15" t="str">
        <x:v>JARDINS LEMAN</x:v>
      </x:c>
      <x:c r="F44" s="15" t="str">
        <x:v>GHOL</x:v>
      </x:c>
      <x:c r="G44" s="15" t="str">
        <x:v>2026 official list: 51 beds.</x:v>
      </x:c>
      <x:c r="H44" s="15" t="str">
        <x:v>High</x:v>
      </x:c>
      <x:c r="I44" s="15" t="str">
        <x:v>https://www.vd.ch/fileadmin/user_upload/themes/social/EMS/Documentation/Liste_officielle_2026.pdf</x:v>
      </x:c>
      <x:c r="J44" s="15" t="str">
        <x:v>Deep-enrich.</x:v>
      </x:c>
    </x:row>
    <x:row r="45">
      <x:c r="A45" s="15" t="str">
        <x:v>ems-laurelles-vevey</x:v>
      </x:c>
      <x:c r="B45" s="15" t="str">
        <x:v>EMS Les Laurelles</x:v>
      </x:c>
      <x:c r="C45" s="15" t="str">
        <x:v>ems</x:v>
      </x:c>
      <x:c r="D45" s="15" t="str">
        <x:v>CONFIRMED — keep</x:v>
      </x:c>
      <x:c r="E45" s="15" t="str">
        <x:v>LAURELLES</x:v>
      </x:c>
      <x:c r="F45" s="15" t="str">
        <x:v>Fondation Balcons du Lac</x:v>
      </x:c>
      <x:c r="G45" s="15" t="str">
        <x:v>2026 official list: 33 beds. Current operator lists it at Av. de Collonge 9, 1820 Territet-Montreux.</x:v>
      </x:c>
      <x:c r="H45" s="15" t="str">
        <x:v>High</x:v>
      </x:c>
      <x:c r="I45" s="15" t="str">
        <x:v>https://www.balconsdulac.ch/</x:v>
      </x:c>
      <x:c r="J45" s="15" t="str">
        <x:v>Correct legacy locality from Vevey to current Territet-Montreux.</x:v>
      </x:c>
    </x:row>
    <x:row r="46">
      <x:c r="A46" s="15" t="str">
        <x:v>ems-gottrause</x:v>
      </x:c>
      <x:c r="B46" s="15" t="str">
        <x:v>EMS La Gottrause</x:v>
      </x:c>
      <x:c r="C46" s="15" t="str">
        <x:v>ems</x:v>
      </x:c>
      <x:c r="D46" s="15" t="str">
        <x:v>UNRESOLVED</x:v>
      </x:c>
      <x:c r="E46" s="15" t="str">
        <x:v>—</x:v>
      </x:c>
      <x:c r="F46" s="15" t="str">
        <x:v>—</x:v>
      </x:c>
      <x:c r="G46" s="15" t="str">
        <x:v>No matching current EMS found in the 2026 official list; current 'Gottrause' web results refer to Crissier education/residential projects, not this legacy Yverdon EMS.</x:v>
      </x:c>
      <x:c r="H46" s="15" t="str">
        <x:v>Needs review</x:v>
      </x:c>
      <x:c r="I46" s="15" t="str">
        <x:v>https://www.vd.ch/fileadmin/user_upload/themes/social/EMS/Documentation/Liste_officielle_2026.pdf</x:v>
      </x:c>
      <x:c r="J46" s="15" t="str">
        <x:v>Do not publish; investigate original source/possible typo or historical name.</x:v>
      </x:c>
    </x:row>
    <x:row r="47">
      <x:c r="A47" s="15" t="str">
        <x:v>ems-palmiers</x:v>
      </x:c>
      <x:c r="B47" s="15" t="str">
        <x:v>EMS Les Palmiers</x:v>
      </x:c>
      <x:c r="C47" s="15" t="str">
        <x:v>ems</x:v>
      </x:c>
      <x:c r="D47" s="15" t="str">
        <x:v>CONFIRMED — keep</x:v>
      </x:c>
      <x:c r="E47" s="15" t="str">
        <x:v>PALMIERS</x:v>
      </x:c>
      <x:c r="F47" s="15" t="str">
        <x:v>Fondation Balcons du Lac</x:v>
      </x:c>
      <x:c r="G47" s="15" t="str">
        <x:v>2026 official list: 43 beds; current operator places it at Avenue du Casino 25, 1820 Montreux, not Aigle.</x:v>
      </x:c>
      <x:c r="H47" s="15" t="str">
        <x:v>High</x:v>
      </x:c>
      <x:c r="I47" s="15" t="str">
        <x:v>https://www.balconsdulac.ch/</x:v>
      </x:c>
      <x:c r="J47" s="15" t="str">
        <x:v>Correct locality/address.</x:v>
      </x:c>
    </x:row>
    <x:row r="48">
      <x:c r="A48" s="15" t="str">
        <x:v>senevita-vaud</x:v>
      </x:c>
      <x:c r="B48" s="15" t="str">
        <x:v>Senevita Casa Vaud</x:v>
      </x:c>
      <x:c r="C48" s="15" t="str">
        <x:v>domicile</x:v>
      </x:c>
      <x:c r="D48" s="15" t="str">
        <x:v>CONFIRMED — keep</x:v>
      </x:c>
      <x:c r="E48" s="15" t="str">
        <x:v>Senevita Casa Vaud</x:v>
      </x:c>
      <x:c r="F48" s="15" t="str">
        <x:v>Senevita</x:v>
      </x:c>
      <x:c r="G48" s="15" t="str">
        <x:v>Official site: Vaud home care, Av. des Baumettes 3, 1020 Renens, with nursing, support, household help, night/24h options.</x:v>
      </x:c>
      <x:c r="H48" s="15" t="str">
        <x:v>High</x:v>
      </x:c>
      <x:c r="I48" s="15" t="str">
        <x:v>https://www.senevita.ch/fr/sites/spitex-vaud/</x:v>
      </x:c>
      <x:c r="J48" s="15" t="str">
        <x:v>Deep-enrich; do not infer exact municipality coverage from old 'Tout Vaud' tag.</x:v>
      </x:c>
    </x:row>
    <x:row r="49">
      <x:c r="A49" s="15" t="str">
        <x:v>swisscaring</x:v>
      </x:c>
      <x:c r="B49" s="15" t="str">
        <x:v>Swisscaring SA</x:v>
      </x:c>
      <x:c r="C49" s="15" t="str">
        <x:v>domicile</x:v>
      </x:c>
      <x:c r="D49" s="15" t="str">
        <x:v>CONFIRMED — keep</x:v>
      </x:c>
      <x:c r="E49" s="15" t="str">
        <x:v>Swisscaring Vaud Sàrl</x:v>
      </x:c>
      <x:c r="F49" s="15" t="str">
        <x:v>Swisscaring</x:v>
      </x:c>
      <x:c r="G49" s="15" t="str">
        <x:v>Official site states Vaud authorization; En Budron E7, 1052 Le Mont-sur-Lausanne; 24/7 interventions.</x:v>
      </x:c>
      <x:c r="H49" s="15" t="str">
        <x:v>High</x:v>
      </x:c>
      <x:c r="I49" s="15" t="str">
        <x:v>https://swisscaring.ch/</x:v>
      </x:c>
      <x:c r="J49" s="15" t="str">
        <x:v>Deep-enrich services/coverage.</x:v>
      </x:c>
    </x:row>
    <x:row r="50">
      <x:c r="A50" s="15" t="str">
        <x:v>homeinstead</x:v>
      </x:c>
      <x:c r="B50" s="15" t="str">
        <x:v>HomeInstead Lausanne</x:v>
      </x:c>
      <x:c r="C50" s="15" t="str">
        <x:v>domicile</x:v>
      </x:c>
      <x:c r="D50" s="15" t="str">
        <x:v>HISTORICAL / merge</x:v>
      </x:c>
      <x:c r="E50" s="15" t="str">
        <x:v>Dovida Lausanne</x:v>
      </x:c>
      <x:c r="F50" s="15" t="str">
        <x:v>Seniorendienste Schweiz AG / Dovida</x:v>
      </x:c>
      <x:c r="G50" s="15" t="str">
        <x:v>Dovida states Home Instead Switzerland changed name to Dovida in March 2025.</x:v>
      </x:c>
      <x:c r="H50" s="15" t="str">
        <x:v>High</x:v>
      </x:c>
      <x:c r="I50" s="15" t="str">
        <x:v>https://dovida.ch/fr/neuigkeiten/home-instead-wird-zu-dovida/</x:v>
      </x:c>
      <x:c r="J50" s="15" t="str">
        <x:v>Archive/redirect old brand; do not show as separate provider.</x:v>
      </x:c>
    </x:row>
    <x:row r="51">
      <x:c r="A51" s="15" t="str">
        <x:v>boite-o</x:v>
      </x:c>
      <x:c r="B51" s="15" t="str">
        <x:v>La Boîte O Services</x:v>
      </x:c>
      <x:c r="C51" s="15" t="str">
        <x:v>domicile</x:v>
      </x:c>
      <x:c r="D51" s="15" t="str">
        <x:v>CONFIRMED — keep</x:v>
      </x:c>
      <x:c r="E51" s="15" t="str">
        <x:v>La Boîte O Services</x:v>
      </x:c>
      <x:c r="F51" s="15" t="str">
        <x:v>La Boîte O Services Sàrl</x:v>
      </x:c>
      <x:c r="G51" s="15" t="str">
        <x:v>Official site: private OSAD, admin in Perroy, active across La Côte, Lausanne area, Riviera and Vallée de Joux.</x:v>
      </x:c>
      <x:c r="H51" s="15" t="str">
        <x:v>High</x:v>
      </x:c>
      <x:c r="I51" s="15" t="str">
        <x:v>https://www.laboiteoservices.ch/</x:v>
      </x:c>
      <x:c r="J51" s="15" t="str">
        <x:v>Deep-enrich; service areas should be structured, not inferred from office.</x:v>
      </x:c>
    </x:row>
    <x:row r="52">
      <x:c r="A52" s="15" t="str">
        <x:v>dovida</x:v>
      </x:c>
      <x:c r="B52" s="15" t="str">
        <x:v>Dovida</x:v>
      </x:c>
      <x:c r="C52" s="15" t="str">
        <x:v>domicile</x:v>
      </x:c>
      <x:c r="D52" s="15" t="str">
        <x:v>CONFIRMED — keep</x:v>
      </x:c>
      <x:c r="E52" s="15" t="str">
        <x:v>Dovida Lausanne</x:v>
      </x:c>
      <x:c r="F52" s="15" t="str">
        <x:v>Seniorendienste Schweiz AG / Dovida</x:v>
      </x:c>
      <x:c r="G52" s="15" t="str">
        <x:v>Official local office page gives Lausanne operation, contact and non-medical home support services.</x:v>
      </x:c>
      <x:c r="H52" s="15" t="str">
        <x:v>High</x:v>
      </x:c>
      <x:c r="I52" s="15" t="str">
        <x:v>https://dovida.ch/fr/local-office/lausanne/</x:v>
      </x:c>
      <x:c r="J52" s="15" t="str">
        <x:v>Deep-enrich; link historical Home Instead identity.</x:v>
      </x:c>
    </x:row>
    <x:row r="53">
      <x:c r="A53" s="15" t="str">
        <x:v>sitex</x:v>
      </x:c>
      <x:c r="B53" s="15" t="str">
        <x:v>SITEX SA</x:v>
      </x:c>
      <x:c r="C53" s="15" t="str">
        <x:v>domicile</x:v>
      </x:c>
      <x:c r="D53" s="15" t="str">
        <x:v>CONFIRMED — keep</x:v>
      </x:c>
      <x:c r="E53" s="15" t="str">
        <x:v>SITEX Vaud HAD/MAD</x:v>
      </x:c>
      <x:c r="F53" s="15" t="str">
        <x:v>SITEX SA</x:v>
      </x:c>
      <x:c r="G53" s="15" t="str">
        <x:v>Official site confirms Vaud hospital-at-home / maintien-à-domicile operation and Vaud admissions line.</x:v>
      </x:c>
      <x:c r="H53" s="15" t="str">
        <x:v>High</x:v>
      </x:c>
      <x:c r="I53" s="15" t="str">
        <x:v>https://www.sitexsa.ch/maintien-a-domicile/</x:v>
      </x:c>
      <x:c r="J53" s="15" t="str">
        <x:v>Do not use legacy Lausanne office as verified address without source.</x:v>
      </x:c>
    </x:row>
    <x:row r="54">
      <x:c r="A54" s="15" t="str">
        <x:v>alterum</x:v>
      </x:c>
      <x:c r="B54" s="15" t="str">
        <x:v>Alterum</x:v>
      </x:c>
      <x:c r="C54" s="15" t="str">
        <x:v>domicile</x:v>
      </x:c>
      <x:c r="D54" s="15" t="str">
        <x:v>CONFIRMED — subtype correction</x:v>
      </x:c>
      <x:c r="E54" s="15" t="str">
        <x:v>Alterum</x:v>
      </x:c>
      <x:c r="F54" s="15" t="str">
        <x:v>Alterum</x:v>
      </x:c>
      <x:c r="G54" s="15" t="str">
        <x:v>Official site provides non-medical daily-life assistance across French-speaking Switzerland: accompaniment, administration, meals, household help, presence, etc.</x:v>
      </x:c>
      <x:c r="H54" s="15" t="str">
        <x:v>High</x:v>
      </x:c>
      <x:c r="I54" s="15" t="str">
        <x:v>https://www.alterum.ch/</x:v>
      </x:c>
      <x:c r="J54" s="15" t="str">
        <x:v>Keep in home-support discovery but distinguish from nursing OSAD.</x:v>
      </x:c>
    </x:row>
    <x:row r="55">
      <x:c r="A55" s="15" t="str">
        <x:v>pro-senectute</x:v>
      </x:c>
      <x:c r="B55" s="15" t="str">
        <x:v>Pro Senectute Vaud</x:v>
      </x:c>
      <x:c r="C55" s="15" t="str">
        <x:v>domicile</x:v>
      </x:c>
      <x:c r="D55" s="15" t="str">
        <x:v>RECLASSIFY</x:v>
      </x:c>
      <x:c r="E55" s="15" t="str">
        <x:v>Pro Senectute Vaud — accompaniment / information</x:v>
      </x:c>
      <x:c r="F55" s="15" t="str">
        <x:v>Pro Senectute Vaud</x:v>
      </x:c>
      <x:c r="G55" s="15" t="str">
        <x:v>Home visits are social companionship; provider explicitly says volunteers do not provide household tasks, care, transport or admin.</x:v>
      </x:c>
      <x:c r="H55" s="15" t="str">
        <x:v>High</x:v>
      </x:c>
      <x:c r="I55" s="15" t="str">
        <x:v>https://www.prosenectute.ch/pro-senectute-vd/fr/services/accompagnement/Visite-a-domicile.html</x:v>
      </x:c>
      <x:c r="J55" s="15" t="str">
        <x:v>Do not label as Spitex/OSAD; model as support service if Lia includes adjacent services.</x:v>
      </x:c>
    </x:row>
    <x:row r="56">
      <x:c r="A56" s="15" t="str">
        <x:v>avasad-cms</x:v>
      </x:c>
      <x:c r="B56" s="15" t="str">
        <x:v>AVASAD – CMS Vaud</x:v>
      </x:c>
      <x:c r="C56" s="15" t="str">
        <x:v>domicile</x:v>
      </x:c>
      <x:c r="D56" s="15" t="str">
        <x:v>SPLIT required</x:v>
      </x:c>
      <x:c r="E56" s="15" t="str">
        <x:v>49 local CMS</x:v>
      </x:c>
      <x:c r="F56" s="15" t="str">
        <x:v>AVASAD</x:v>
      </x:c>
      <x:c r="G56" s="15" t="str">
        <x:v>Canton states AVASAD manages 49 CMS; a single generic provider page would hide the locations users need.</x:v>
      </x:c>
      <x:c r="H56" s="15" t="str">
        <x:v>High</x:v>
      </x:c>
      <x:c r="I56" s="15" t="str">
        <x:v>https://www.vd.ch/sante-soins-et-handicap/vivre-a-domicile/aide-a-domicile</x:v>
      </x:c>
      <x:c r="J56" s="15" t="str">
        <x:v>Create individual CMS listings linked to AVASAD network.</x:v>
      </x:c>
    </x:row>
    <x:row r="57">
      <x:c r="A57" s="15" t="str">
        <x:v>vitadomo</x:v>
      </x:c>
      <x:c r="B57" s="15" t="str">
        <x:v>Vitadomo</x:v>
      </x:c>
      <x:c r="C57" s="15" t="str">
        <x:v>domicile</x:v>
      </x:c>
      <x:c r="D57" s="15" t="str">
        <x:v>UNRESOLVED</x:v>
      </x:c>
      <x:c r="E57" s="15" t="str">
        <x:v>—</x:v>
      </x:c>
      <x:c r="F57" s="15" t="str">
        <x:v>—</x:v>
      </x:c>
      <x:c r="G57" s="15" t="str">
        <x:v>No reliable current Vaud home-care operation matching this legacy Lausanne record found in the 2026 review.</x:v>
      </x:c>
      <x:c r="H57" s="15" t="str">
        <x:v>Needs review</x:v>
      </x:c>
      <x:c r="I57" s="15" t="str"/>
      <x:c r="J57" s="15" t="str">
        <x:v>Do not publish; recover original source or confirm with provider/cantonal OSAD list.</x:v>
      </x:c>
    </x:row>
    <x:row r="58">
      <x:c r="A58" s="15" t="str">
        <x:v>senior-plus</x:v>
      </x:c>
      <x:c r="B58" s="15" t="str">
        <x:v>Senior+</x:v>
      </x:c>
      <x:c r="C58" s="15" t="str">
        <x:v>domicile</x:v>
      </x:c>
      <x:c r="D58" s="15" t="str">
        <x:v>UNRESOLVED</x:v>
      </x:c>
      <x:c r="E58" s="15" t="str">
        <x:v>—</x:v>
      </x:c>
      <x:c r="F58" s="15" t="str">
        <x:v>—</x:v>
      </x:c>
      <x:c r="G58" s="15" t="str">
        <x:v>No reliable current Nyon/Vaud home-care operation matching this legacy record found in the 2026 review.</x:v>
      </x:c>
      <x:c r="H58" s="15" t="str">
        <x:v>Needs review</x:v>
      </x:c>
      <x:c r="I58" s="15" t="str"/>
      <x:c r="J58" s="15" t="str">
        <x:v>Do not publish; recover original source or confirm with local/cantonal sources.</x:v>
      </x:c>
    </x:row>
    <x:row r="59">
      <x:c r="A59" s="15" t="str">
        <x:v>aide-familiale-morges</x:v>
      </x:c>
      <x:c r="B59" s="15" t="str">
        <x:v>Aide Familiale Morges</x:v>
      </x:c>
      <x:c r="C59" s="15" t="str">
        <x:v>domicile</x:v>
      </x:c>
      <x:c r="D59" s="15" t="str">
        <x:v>RECLASSIFY / subtype correction</x:v>
      </x:c>
      <x:c r="E59" s="15" t="str">
        <x:v>Service d'aide familiale de Morges et environs</x:v>
      </x:c>
      <x:c r="F59" s="15" t="str">
        <x:v>Association Service d'aide familiale de Morges et environs</x:v>
      </x:c>
      <x:c r="G59" s="15" t="str">
        <x:v>Official site confirms family/senior assistance over Morges + 24 surrounding communes, but does not support treating it as a nursing Spitex provider.</x:v>
      </x:c>
      <x:c r="H59" s="15" t="str">
        <x:v>High</x:v>
      </x:c>
      <x:c r="I59" s="15" t="str">
        <x:v>https://safmorges.ch/saf</x:v>
      </x:c>
      <x:c r="J59" s="15" t="str">
        <x:v>Keep as adjacent home-support service if in scope; do not map legacy 'Spitex' tag to nursing.</x:v>
      </x:c>
    </x:row>
    <x:row r="60">
      <x:c r="A60" s="15" t="str">
        <x:v>nova-via</x:v>
      </x:c>
      <x:c r="B60" s="15" t="str">
        <x:v>Nova Via Residenzen Montreux</x:v>
      </x:c>
      <x:c r="C60" s="15" t="str">
        <x:v>residence</x:v>
      </x:c>
      <x:c r="D60" s="15" t="str">
        <x:v>CONFIRMED — multi-offering</x:v>
      </x:c>
      <x:c r="E60" s="15" t="str">
        <x:v>Nova Vita Montreux</x:v>
      </x:c>
      <x:c r="F60" s="15" t="str">
        <x:v>Nova Vita Residenz Montreux SA</x:v>
      </x:c>
      <x:c r="G60" s="15" t="str">
        <x:v>Current name is Nova Vita Montreux. Official site offers senior apartments; 2026 canton list also recognizes a 12-bed EMS NON RIP component.</x:v>
      </x:c>
      <x:c r="H60" s="15" t="str">
        <x:v>High</x:v>
      </x:c>
      <x:c r="I60" s="15" t="str">
        <x:v>https://www.novavita.com/fr/nova-vita-montreux/</x:v>
      </x:c>
      <x:c r="J60" s="15" t="str">
        <x:v>Correct name; model residence + care offering at same operation.</x:v>
      </x:c>
    </x:row>
    <x:row r="61">
      <x:c r="A61" s="15" t="str">
        <x:v>gout-bonheur</x:v>
      </x:c>
      <x:c r="B61" s="15" t="str">
        <x:v>Le Goût du Bonheur</x:v>
      </x:c>
      <x:c r="C61" s="15" t="str">
        <x:v>residence</x:v>
      </x:c>
      <x:c r="D61" s="15" t="str">
        <x:v>CONFIRMED — keep</x:v>
      </x:c>
      <x:c r="E61" s="15" t="str">
        <x:v>Résidence Le Goût du Bonheur</x:v>
      </x:c>
      <x:c r="F61" s="15" t="str">
        <x:v>Fondation Les Châteaux / residence operator</x:v>
      </x:c>
      <x:c r="G61" s="15" t="str">
        <x:v>Official site: 6 adapted/protected apartments in Goumoens-la-Ville; Les Châteaux says it is not DGCS-conventioned.</x:v>
      </x:c>
      <x:c r="H61" s="15" t="str">
        <x:v>High</x:v>
      </x:c>
      <x:c r="I61" s="15" t="str">
        <x:v>https://legoutdubonheur.ch/</x:v>
      </x:c>
      <x:c r="J61" s="15" t="str">
        <x:v>Deep-enrich; mark recognition status accurately.</x:v>
      </x:c>
    </x:row>
    <x:row r="62">
      <x:c r="A62" s="15" t="str">
        <x:v>laurelles-residence</x:v>
      </x:c>
      <x:c r="B62" s="15" t="str">
        <x:v>Les Laurelles – Résidence</x:v>
      </x:c>
      <x:c r="C62" s="15" t="str">
        <x:v>residence</x:v>
      </x:c>
      <x:c r="D62" s="15" t="str">
        <x:v>MERGE / duplicate review</x:v>
      </x:c>
      <x:c r="E62" s="15" t="str">
        <x:v>EMS Les Laurelles</x:v>
      </x:c>
      <x:c r="F62" s="15" t="str">
        <x:v>Fondation Balcons du Lac</x:v>
      </x:c>
      <x:c r="G62" s="15" t="str">
        <x:v>Current operator presents Les Laurelles as an EMS; no evidence found for a separate current senior-residence listing at the same identity.</x:v>
      </x:c>
      <x:c r="H62" s="15" t="str">
        <x:v>High</x:v>
      </x:c>
      <x:c r="I62" s="15" t="str">
        <x:v>https://www.balconsdulac.ch/</x:v>
      </x:c>
      <x:c r="J62" s="15" t="str">
        <x:v>Do not publish duplicate residence page unless separate current offering is proven.</x:v>
      </x:c>
    </x:row>
    <x:row r="63">
      <x:c r="A63" s="15" t="str">
        <x:v>alterimo</x:v>
      </x:c>
      <x:c r="B63" s="15" t="str">
        <x:v>Alterimo – Logements seniors</x:v>
      </x:c>
      <x:c r="C63" s="15" t="str">
        <x:v>residence</x:v>
      </x:c>
      <x:c r="D63" s="15" t="str">
        <x:v>SPLIT required</x:v>
      </x:c>
      <x:c r="E63" s="15" t="str">
        <x:v>Individual Alterimo-managed LADA/sites</x:v>
      </x:c>
      <x:c r="F63" s="15" t="str">
        <x:v>Alterimo</x:v>
      </x:c>
      <x:c r="G63" s="15" t="str">
        <x:v>Alterimo is a specialized property manager, not one residence. Current Vaud LADA list shows multiple separate sites using Alterimo/Althys.</x:v>
      </x:c>
      <x:c r="H63" s="15" t="str">
        <x:v>High</x:v>
      </x:c>
      <x:c r="I63" s="15" t="str">
        <x:v>https://www.alterimo.ch/</x:v>
      </x:c>
      <x:c r="J63" s="15" t="str">
        <x:v>Replace generic page with individual residence/site listings; keep Alterimo as manager relationship.</x:v>
      </x:c>
    </x:row>
    <x:row r="64">
      <x:c r="A64" s="15" t="str">
        <x:v>netage</x:v>
      </x:c>
      <x:c r="B64" s="15" t="str">
        <x:v>Fondation NetAge</x:v>
      </x:c>
      <x:c r="C64" s="15" t="str">
        <x:v>residence</x:v>
      </x:c>
      <x:c r="D64" s="15" t="str">
        <x:v>SPLIT required</x:v>
      </x:c>
      <x:c r="E64" s="15" t="str">
        <x:v>Les Maisons de Pra Roman + Les Plaines-du-Loup</x:v>
      </x:c>
      <x:c r="F64" s="15" t="str">
        <x:v>Fondation NetAge</x:v>
      </x:c>
      <x:c r="G64" s="15" t="str">
        <x:v>Official site presents multiple living sites, not one residence.</x:v>
      </x:c>
      <x:c r="H64" s="15" t="str">
        <x:v>High</x:v>
      </x:c>
      <x:c r="I64" s="15" t="str">
        <x:v>https://netage.ch/</x:v>
      </x:c>
      <x:c r="J64" s="15" t="str">
        <x:v>Create individual consumer-facing site pages linked to NetAge operator.</x:v>
      </x:c>
    </x:row>
    <x:row r="65">
      <x:c r="A65" s="15" t="str">
        <x:v>cerisiers-morges</x:v>
      </x:c>
      <x:c r="B65" s="15" t="str">
        <x:v>Résidence Les Cerisiers</x:v>
      </x:c>
      <x:c r="C65" s="15" t="str">
        <x:v>residence</x:v>
      </x:c>
      <x:c r="D65" s="15" t="str">
        <x:v>UNRESOLVED</x:v>
      </x:c>
      <x:c r="E65" s="15" t="str">
        <x:v>—</x:v>
      </x:c>
      <x:c r="F65" s="15" t="str">
        <x:v>—</x:v>
      </x:c>
      <x:c r="G65" s="15" t="str">
        <x:v>No matching current Morges LADA found in the Canton’s July 2026 LADA list. Do not confuse with similarly named facilities elsewhere.</x:v>
      </x:c>
      <x:c r="H65" s="15" t="str">
        <x:v>Needs review</x:v>
      </x:c>
      <x:c r="I65" s="15" t="str">
        <x:v>https://www.vd.ch/fileadmin/user_upload/themes/social/Vivre_%C3%A0_domicile/Logements_prot%C3%A9g%C3%A9s/Rechercher/Liste_LADA.pdf</x:v>
      </x:c>
      <x:c r="J65" s="15" t="str">
        <x:v>Do not publish; recover original source or confirm current identity.</x:v>
      </x:c>
    </x:row>
    <x:row r="66">
      <x:c r="A66" s="15" t="str">
        <x:v>village-senior-crissier</x:v>
      </x:c>
      <x:c r="B66" s="15" t="str">
        <x:v>Village Senior Crissier</x:v>
      </x:c>
      <x:c r="C66" s="15" t="str">
        <x:v>residence</x:v>
      </x:c>
      <x:c r="D66" s="15" t="str">
        <x:v>UNRESOLVED / possible replacement</x:v>
      </x:c>
      <x:c r="E66" s="15" t="str">
        <x:v>—</x:v>
      </x:c>
      <x:c r="F66" s="15" t="str">
        <x:v>—</x:v>
      </x:c>
      <x:c r="G66" s="15" t="str">
        <x:v>Current official LADA list includes Résidence OASSIS in Crissier (100 LADA), but no evidence yet ties the legacy 'Village Senior Crissier' name to OASSIS.</x:v>
      </x:c>
      <x:c r="H66" s="15" t="str">
        <x:v>Needs review</x:v>
      </x:c>
      <x:c r="I66" s="15" t="str">
        <x:v>https://www.vd.ch/fileadmin/user_upload/themes/social/Vivre_%C3%A0_domicile/Logements_prot%C3%A9g%C3%A9s/Rechercher/Liste_LADA.pdf</x:v>
      </x:c>
      <x:c r="J66" s="15" t="str">
        <x:v>Do not auto-merge; trace original record.</x:v>
      </x:c>
    </x:row>
    <x:row r="67">
      <x:c r="A67" s="15" t="str">
        <x:v>residence-lac-nyon</x:v>
      </x:c>
      <x:c r="B67" s="15" t="str">
        <x:v>Résidence du Lac – Nyon</x:v>
      </x:c>
      <x:c r="C67" s="15" t="str">
        <x:v>residence</x:v>
      </x:c>
      <x:c r="D67" s="15" t="str">
        <x:v>UNRESOLVED</x:v>
      </x:c>
      <x:c r="E67" s="15" t="str">
        <x:v>—</x:v>
      </x:c>
      <x:c r="F67" s="15" t="str">
        <x:v>—</x:v>
      </x:c>
      <x:c r="G67" s="15" t="str">
        <x:v>No matching current Nyon LADA found in the Canton’s July 2026 LADA list; current web 'Résidence du Lac' result is in Jura and is unrelated.</x:v>
      </x:c>
      <x:c r="H67" s="15" t="str">
        <x:v>Needs review</x:v>
      </x:c>
      <x:c r="I67" s="15" t="str">
        <x:v>https://www.vd.ch/fileadmin/user_upload/themes/social/Vivre_%C3%A0_domicile/Logements_prot%C3%A9g%C3%A9s/Rechercher/Liste_LADA.pdf</x:v>
      </x:c>
      <x:c r="J67" s="15" t="str">
        <x:v>Do not publish; recover original source/identity.</x:v>
      </x:c>
    </x:row>
  </x:sheetData>
  <x:conditionalFormatting sqref="D2:D67">
    <x:cfRule type="expression" dxfId="0" priority="1">
      <x:formula>LEFT(D2,9)="CONFIRMED"</x:formula>
    </x:cfRule>
    <x:cfRule type="expression" dxfId="1" priority="2">
      <x:formula>LEFT(D2,5)="SPLIT"</x:formula>
    </x:cfRule>
    <x:cfRule type="expression" dxfId="2" priority="3">
      <x:formula>LEFT(D2,10)="RECLASSIFY"</x:formula>
    </x:cfRule>
    <x:cfRule type="expression" dxfId="3" priority="4">
      <x:formula>LEFT(D2,10)="HISTORICAL"</x:formula>
    </x:cfRule>
    <x:cfRule type="expression" dxfId="4" priority="5">
      <x:formula>LEFT(D2,10)="UNRESOLVED"</x:formula>
    </x:cfRule>
    <x:cfRule type="expression" dxfId="5" priority="6">
      <x:formula>LEFT(D2,10)="TRANSITION"</x:formula>
    </x:cfRule>
    <x:cfRule type="expression" dxfId="6" priority="7">
      <x:formula>LEFT(D2,5)="MERGE"</x:formula>
    </x:cfRule>
  </x:conditionalFormatting>
  <x:pageMargins left="0.7" right="0.7" top="0.75" bottom="0.75" header="0.3" footer="0.3"/>
  <x:tableParts count="1">
    <x:tablePart xmlns:r="http://schemas.openxmlformats.org/officeDocument/2006/relationships" r:id="R920a97f3796940f8"/>
  </x:tableParts>
</x:worksheet>
</file>

<file path=xl/worksheets/sheet2.xml><?xml version="1.0" encoding="utf-8"?>
<x:worksheet xmlns:x="http://schemas.openxmlformats.org/spreadsheetml/2006/main">
  <x:sheetFormatPr defaultRowHeight="15"/>
  <x:cols>
    <x:col min="1" max="1" width="34" hidden="0" customWidth="1"/>
    <x:col min="2" max="2" width="16" hidden="0" customWidth="1"/>
    <x:col min="4" max="4" width="24" hidden="0" customWidth="1"/>
    <x:col min="5" max="5" width="12" hidden="0" customWidth="1"/>
  </x:cols>
  <x:sheetData>
    <x:row r="1">
      <x:c r="A1" s="20" t="str">
        <x:v>Lia Vaud provider audit — 2026-09-21</x:v>
      </x:c>
      <x:c r="B1" s="20" t="str"/>
      <x:c r="C1" s="20" t="str"/>
      <x:c r="D1" s="20" t="str"/>
    </x:row>
    <x:row r="3">
      <x:c r="A3" s="28" t="str">
        <x:v>Metric</x:v>
      </x:c>
      <x:c r="B3" s="28" t="str">
        <x:v>Count</x:v>
      </x:c>
      <x:c r="D3" s="25" t="str">
        <x:v>Status family</x:v>
      </x:c>
      <x:c r="E3" s="25" t="str">
        <x:v>Count</x:v>
      </x:c>
    </x:row>
    <x:row r="4">
      <x:c r="A4" s="12" t="str">
        <x:v>Total legacy records</x:v>
      </x:c>
      <x:c r="B4" s="12" t="n">
        <x:v>66</x:v>
      </x:c>
      <x:c r="D4" t="str">
        <x:v>Confirmed</x:v>
      </x:c>
      <x:c r="E4" t="n">
        <x:v>42</x:v>
      </x:c>
    </x:row>
    <x:row r="5">
      <x:c r="A5" s="12" t="str">
        <x:v>EMS records</x:v>
      </x:c>
      <x:c r="B5" s="12" t="n">
        <x:v>46</x:v>
      </x:c>
      <x:c r="D5" t="str">
        <x:v>Split required</x:v>
      </x:c>
      <x:c r="E5" t="n">
        <x:v>4</x:v>
      </x:c>
    </x:row>
    <x:row r="6">
      <x:c r="A6" s="12" t="str">
        <x:v>Home-care records</x:v>
      </x:c>
      <x:c r="B6" s="12" t="n">
        <x:v>12</x:v>
      </x:c>
      <x:c r="D6" t="str">
        <x:v>Reclassify</x:v>
      </x:c>
      <x:c r="E6" t="n">
        <x:v>9</x:v>
      </x:c>
    </x:row>
    <x:row r="7">
      <x:c r="A7" s="12" t="str">
        <x:v>Residence records</x:v>
      </x:c>
      <x:c r="B7" s="12" t="n">
        <x:v>8</x:v>
      </x:c>
      <x:c r="D7" t="str">
        <x:v>Historical/merge</x:v>
      </x:c>
      <x:c r="E7" t="n">
        <x:v>4</x:v>
      </x:c>
    </x:row>
    <x:row r="8">
      <x:c r="A8" s="12" t="str">
        <x:v>Records with High confidence</x:v>
      </x:c>
      <x:c r="B8" s="12" t="n">
        <x:v>58</x:v>
      </x:c>
      <x:c r="D8" t="str">
        <x:v>Unresolved</x:v>
      </x:c>
      <x:c r="E8" t="n">
        <x:v>6</x:v>
      </x:c>
    </x:row>
    <x:row r="9">
      <x:c r="A9" s="12" t="str">
        <x:v>Records needing structural change</x:v>
      </x:c>
      <x:c r="B9" s="12" t="n">
        <x:v>17</x:v>
      </x:c>
      <x:c r="D9" t="str">
        <x:v>Transition</x:v>
      </x:c>
      <x:c r="E9" t="n">
        <x:v>1</x:v>
      </x:c>
    </x:row>
    <x:row r="10">
      <x:c r="A10" s="12" t="str">
        <x:v>Unresolved / transition review</x:v>
      </x:c>
      <x:c r="B10" s="12" t="n">
        <x:v>7</x:v>
      </x:c>
      <x:c r="D10" t="str">
        <x:v>Other</x:v>
      </x:c>
      <x:c r="E10" t="n">
        <x:v>0</x:v>
      </x:c>
    </x:row>
    <x:row r="12">
      <x:c r="A12" s="44" t="str">
        <x:v>Deep enrichment progress</x:v>
      </x:c>
      <x:c r="B12" s="44" t="str"/>
    </x:row>
    <x:row r="13">
      <x:c r="A13" s="12" t="str">
        <x:v>Profiles with deep-enrichment rows</x:v>
      </x:c>
      <x:c r="B13" s="12" t="n">
        <x:v>42</x:v>
      </x:c>
    </x:row>
    <x:row r="15">
      <x:c r="A15" s="60" t="str">
        <x:v>Structural resolution progress</x:v>
      </x:c>
      <x:c r="B15" s="60" t="str"/>
    </x:row>
    <x:row r="16">
      <x:c r="A16" s="12" t="str">
        <x:v>Non-clean legacy records resolved/queued</x:v>
      </x:c>
      <x:c r="B16" s="12" t="n">
        <x:v>12</x:v>
      </x:c>
    </x:row>
    <x:row r="17">
      <x:c r="A17" s="12" t="str">
        <x:v>Next focus</x:v>
      </x:c>
      <x:c r="B17" s="12" t="str">
        <x:v>National-ready provider model + remaining new site additions</x:v>
      </x:c>
    </x:row>
    <x:row r="19">
      <x:c r="A19" s="69" t="str">
        <x:v>New-listing recovery</x:v>
      </x:c>
      <x:c r="B19" s="69" t="str"/>
    </x:row>
    <x:row r="20">
      <x:c r="A20" s="12" t="str">
        <x:v>New current site candidates documented</x:v>
      </x:c>
      <x:c r="B20" s="12" t="n">
        <x:v>8</x:v>
      </x:c>
    </x:row>
    <x:row r="21">
      <x:c r="A21" s="12" t="str">
        <x:v>Why this matters</x:v>
      </x:c>
      <x:c r="B21" s="12" t="str">
        <x:v>Legacy 66 is not complete enough for launch</x:v>
      </x:c>
    </x:row>
    <x:row r="22">
      <x:c r="A22" s="12" t="str">
        <x:v>Next research block</x:v>
      </x:c>
      <x:c r="B22" s="12" t="str">
        <x:v>CMS + LADA national-ready location model</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90" hidden="0" customWidth="1"/>
  </x:cols>
  <x:sheetData>
    <x:row r="1">
      <x:c r="A1" s="4" t="str">
        <x:v>Rule</x:v>
      </x:c>
      <x:c r="B1" s="4" t="str">
        <x:v>Working standard</x:v>
      </x:c>
    </x:row>
    <x:row r="2">
      <x:c r="A2" s="12" t="str">
        <x:v>Publication</x:v>
      </x:c>
      <x:c r="B2" s="12" t="str">
        <x:v>Nothing in this workbook is automatically publication-ready. Provider remains unpublished until field-level review is complete.</x:v>
      </x:c>
    </x:row>
    <x:row r="3">
      <x:c r="A3" s="12" t="str">
        <x:v>Evidence hierarchy</x:v>
      </x:c>
      <x:c r="B3" s="12" t="str">
        <x:v>Prefer Canton of Vaud/current official provider/network sources. Secondary directories are only supporting evidence.</x:v>
      </x:c>
    </x:row>
    <x:row r="4">
      <x:c r="A4" s="12" t="str">
        <x:v>Unknowns</x:v>
      </x:c>
      <x:c r="B4" s="12" t="str">
        <x:v>Unknown stays blank/unknown. Do not convert old tags into confirmed services, coverage, language, funding or status.</x:v>
      </x:c>
    </x:row>
    <x:row r="5">
      <x:c r="A5" s="12" t="str">
        <x:v>Listing unit</x:v>
      </x:c>
      <x:c r="B5" s="12" t="str">
        <x:v>Model organisation → establishment/site → care offering → service area → field source/evidence.</x:v>
      </x:c>
    </x:row>
    <x:row r="6">
      <x:c r="A6" s="12" t="str">
        <x:v>Home care</x:v>
      </x:c>
      <x:c r="B6" s="12" t="str">
        <x:v>Office location is not service coverage.</x:v>
      </x:c>
    </x:row>
    <x:row r="7">
      <x:c r="A7" s="12" t="str">
        <x:v>Operator vs establishment</x:v>
      </x:c>
      <x:c r="B7" s="12" t="str">
        <x:v>Foundations, networks and property managers should not automatically become consumer-facing facility pages.</x:v>
      </x:c>
    </x:row>
    <x:row r="8">
      <x:c r="A8" s="12" t="str">
        <x:v>Historical names</x:v>
      </x:c>
      <x:c r="B8" s="12" t="str">
        <x:v>Keep provenance and redirect/history; do not publish stale identities as active competitors.</x:v>
      </x:c>
    </x:row>
    <x:row r="9">
      <x:c r="A9" s="12" t="str">
        <x:v>EPSM</x:v>
      </x:c>
      <x:c r="B9" s="12" t="str">
        <x:v>Do not surface EPSM records in the core EMS elderly-care search unless product scope explicitly expands.</x:v>
      </x:c>
    </x:row>
    <x:row r="10">
      <x:c r="A10" s="12" t="str">
        <x:v>Availability</x:v>
      </x:c>
      <x:c r="B10" s="12" t="str">
        <x:v>Never copy a live availability claim without source + timestamp + expiry/review logic.</x:v>
      </x:c>
    </x:row>
    <x:row r="11">
      <x:c r="A11" s="12" t="str">
        <x:v>Photos/reviews</x:v>
      </x:c>
      <x:c r="B11" s="12" t="str">
        <x:v>Provider-authorized photos can be stored by Lia. Google photos/reviews should be integrated through official Google APIs with attribution; do not scrape/rehost.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30" hidden="0" customWidth="1"/>
    <x:col min="3" max="3" width="36" hidden="0" customWidth="1"/>
    <x:col min="4" max="4" width="18" hidden="0" customWidth="1"/>
    <x:col min="5" max="5" width="32" hidden="0" customWidth="1"/>
    <x:col min="6" max="6" width="60" hidden="0" customWidth="1"/>
    <x:col min="7" max="7" width="72" hidden="0" customWidth="1"/>
    <x:col min="8" max="8" width="52" hidden="0" customWidth="1"/>
    <x:col min="9" max="9" width="34" hidden="0" customWidth="1"/>
    <x:col min="10" max="10" width="34" hidden="0" customWidth="1"/>
    <x:col min="11" max="11" width="52" hidden="0" customWidth="1"/>
  </x:cols>
  <x:sheetData>
    <x:row r="1">
      <x:c r="A1" s="14" t="str">
        <x:v>Legacy ID</x:v>
      </x:c>
      <x:c r="B1" s="14" t="str">
        <x:v>Current listing</x:v>
      </x:c>
      <x:c r="C1" s="14" t="str">
        <x:v>Verified address</x:v>
      </x:c>
      <x:c r="D1" s="14" t="str">
        <x:v>Phone</x:v>
      </x:c>
      <x:c r="E1" s="14" t="str">
        <x:v>Email</x:v>
      </x:c>
      <x:c r="F1" s="14" t="str">
        <x:v>Verified services / attributes</x:v>
      </x:c>
      <x:c r="G1" s="14" t="str">
        <x:v>Evidence note</x:v>
      </x:c>
      <x:c r="H1" s="14" t="str">
        <x:v>Primary official source</x:v>
      </x:c>
      <x:c r="I1" s="14" t="str">
        <x:v>Review status</x:v>
      </x:c>
      <x:c r="J1" s="14" t="str">
        <x:v>Public-interest / legal status</x:v>
      </x:c>
      <x:c r="K1" s="51" t="str">
        <x:v>Secondary official / network source</x:v>
      </x:c>
    </x:row>
    <x:row r="2">
      <x:c r="A2" s="15" t="str">
        <x:v>ems-chateau-rive</x:v>
      </x:c>
      <x:c r="B2" s="15" t="str">
        <x:v>EMS Château de la Rive</x:v>
      </x:c>
      <x:c r="C2" s="15" t="str">
        <x:v>Chemin de Curtinaux 14, 1095 Lutry</x:v>
      </x:c>
      <x:c r="D2" s="15" t="str">
        <x:v>021 796 10 41</x:v>
      </x:c>
      <x:c r="E2" s="15" t="str">
        <x:v>direction@chateaudelarive.ch</x:v>
      </x:c>
      <x:c r="F2" s="15" t="str">
        <x:v>Short and long stays; geriatric care; advanced-age psychiatric/cognitive-support environment; physiotherapy; podology; hairdresser; aesthetics; on-site hotel/laundry services</x:v>
      </x:c>
      <x:c r="G2" s="15" t="str">
        <x:v>Official site describes individualized multidisciplinary care, specialized advanced-age psychiatric/cognitive care in La Résidence, physiotherapy and multiple wellbeing/hotel services.</x:v>
      </x:c>
      <x:c r="H2" s="15" t="str">
        <x:v>https://chateaudelarive.ch/</x:v>
      </x:c>
      <x:c r="I2" s="15" t="str">
        <x:v>Deep-enriched — ready for field-level review</x:v>
      </x:c>
      <x:c r="J2" s="15"/>
      <x:c r="K2" s="15"/>
    </x:row>
    <x:row r="3">
      <x:c r="A3" s="15" t="str">
        <x:v>ems-clair-soleil</x:v>
      </x:c>
      <x:c r="B3" s="15" t="str">
        <x:v>EMS Clair-Soleil</x:v>
      </x:c>
      <x:c r="C3" s="15" t="str">
        <x:v>Route de la Pierre 7, 1024 Ecublens</x:v>
      </x:c>
      <x:c r="D3" s="15" t="str">
        <x:v>+41 21 694 22 22</x:v>
      </x:c>
      <x:c r="E3" s="15" t="str">
        <x:v>ems.clairsoleil@fa2.ch</x:v>
      </x:c>
      <x:c r="F3" s="15" t="str">
        <x:v>Long-stay EMS; social, hotel, care and socio-cultural services; Humanitude approach; large park</x:v>
      </x:c>
      <x:c r="G3" s="15" t="str">
        <x:v>Official site identifies a long-stay medicalized establishment and a 7,500 m² park; contact details confirmed.</x:v>
      </x:c>
      <x:c r="H3" s="15" t="str">
        <x:v>https://clair-soleil.ch/</x:v>
      </x:c>
      <x:c r="I3" s="15" t="str">
        <x:v>Deep-enriched — capacity/source reconciliation still to attach</x:v>
      </x:c>
      <x:c r="J3" s="15"/>
      <x:c r="K3" s="15"/>
    </x:row>
    <x:row r="4">
      <x:c r="A4" s="15" t="str">
        <x:v>ems-chantemerle</x:v>
      </x:c>
      <x:c r="B4" s="15" t="str">
        <x:v>EMS Chantemerle</x:v>
      </x:c>
      <x:c r="C4" s="15" t="str">
        <x:v>Chemin de Chantemerle 3, 1010 Lausanne</x:v>
      </x:c>
      <x:c r="D4" s="15" t="str">
        <x:v>021 555 60 20</x:v>
      </x:c>
      <x:c r="E4" s="15" t="str"/>
      <x:c r="F4" s="15" t="str">
        <x:v>Geriatric EMS</x:v>
      </x:c>
      <x:c r="G4" s="15" t="str">
        <x:v>Current Réseau Santé Région Lausanne directory corrects the legacy Lutry locality to Lausanne and identifies Résidences Odysse SA as operator.</x:v>
      </x:c>
      <x:c r="H4" s="15" t="str">
        <x:v>https://www.reseau-sante-region-lausanne.ch/membres-ems/</x:v>
      </x:c>
      <x:c r="I4" s="15" t="str">
        <x:v>Partial deep enrichment — provider site has limited content</x:v>
      </x:c>
      <x:c r="J4" s="15"/>
      <x:c r="K4" s="15"/>
    </x:row>
    <x:row r="5">
      <x:c r="A5" s="15" t="str">
        <x:v>ems-boissonnet</x:v>
      </x:c>
      <x:c r="B5" s="15" t="str">
        <x:v>Fondation Louis Boissonnet</x:v>
      </x:c>
      <x:c r="C5" s="15" t="str">
        <x:v>Chemin de Boissonnet 51, 1010 Lausanne</x:v>
      </x:c>
      <x:c r="D5" s="15" t="str">
        <x:v>021 651 31 11</x:v>
      </x:c>
      <x:c r="E5" s="15" t="str">
        <x:v>boissonnet@boissonnet.ch</x:v>
      </x:c>
      <x:c r="F5" s="15" t="str">
        <x:v>24/7 medico-social accompaniment; nursing/medical, hotel, animation, hairdresser, spiritual support</x:v>
      </x:c>
      <x:c r="G5" s="15" t="str">
        <x:v>Official foundation site says the EMS houses 106 residents and provides interdisciplinary medico-social accompaniment day and night.</x:v>
      </x:c>
      <x:c r="H5" s="15" t="str">
        <x:v>https://boissonnet.ch/</x:v>
      </x:c>
      <x:c r="I5" s="15" t="str">
        <x:v>Deep-enriched</x:v>
      </x:c>
      <x:c r="J5" s="15"/>
      <x:c r="K5" s="15"/>
    </x:row>
    <x:row r="6">
      <x:c r="A6" s="15" t="str">
        <x:v>ems-joli-automne</x:v>
      </x:c>
      <x:c r="B6" s="15" t="str">
        <x:v>Tertianum Joli Automne</x:v>
      </x:c>
      <x:c r="C6" s="15" t="str">
        <x:v>Ecublens, Vaud</x:v>
      </x:c>
      <x:c r="D6" s="15" t="str"/>
      <x:c r="E6" s="15" t="str"/>
      <x:c r="F6" s="15" t="str">
        <x:v>Medicalized rooms; long/short care offer depending on current Tertianum service configuration; communal spaces and terrace</x:v>
      </x:c>
      <x:c r="G6" s="15" t="str">
        <x:v>Current Tertianum provider page confirms the active Ecublens care center. Live availability is shown on the site but must not be stored as a static fact.</x:v>
      </x:c>
      <x:c r="H6" s="15" t="str">
        <x:v>https://www.tertianum.ch/fr/etablissement-medico-sociaux/tertianum-joli-automne</x:v>
      </x:c>
      <x:c r="I6" s="15" t="str">
        <x:v>Deep-enriched — contact/address still to capture from official page</x:v>
      </x:c>
      <x:c r="J6" s="15"/>
      <x:c r="K6" s="15"/>
    </x:row>
    <x:row r="7">
      <x:c r="A7" s="15" t="str">
        <x:v>ems-le-home</x:v>
      </x:c>
      <x:c r="B7" s="15" t="str">
        <x:v>EMS Le Home</x:v>
      </x:c>
      <x:c r="C7" s="15" t="str">
        <x:v>Avenue des Peupliers 22A, 1009 Pully</x:v>
      </x:c>
      <x:c r="D7" s="15" t="str">
        <x:v>021 721 02 70</x:v>
      </x:c>
      <x:c r="E7" s="15" t="str">
        <x:v>info@lehome-lespins.ch</x:v>
      </x:c>
      <x:c r="F7" s="15" t="str">
        <x:v>EMS care; activities; shared living/rest areas; hairdresser; 24/7 visiting access</x:v>
      </x:c>
      <x:c r="G7" s="15" t="str">
        <x:v>Official site describes 31 places at Le Home, with 14 double rooms and 3 individual rooms, all with private bathrooms; provider pages also explain Vaud financing and admission information.</x:v>
      </x:c>
      <x:c r="H7" s="15" t="str">
        <x:v>https://www.lehome-lespins.ch/</x:v>
      </x:c>
      <x:c r="I7" s="15" t="str">
        <x:v>Deep-enriched; link operator to Les Pins</x:v>
      </x:c>
      <x:c r="J7" s="15"/>
      <x:c r="K7" s="15"/>
    </x:row>
    <x:row r="8">
      <x:c r="A8" s="15" t="str">
        <x:v>ems-marronnier</x:v>
      </x:c>
      <x:c r="B8" s="15" t="str">
        <x:v>EMS Le Marronnier</x:v>
      </x:c>
      <x:c r="C8" s="15" t="str">
        <x:v>Route de Lavaux 20, 1095 Lutry</x:v>
      </x:c>
      <x:c r="D8" s="15" t="str">
        <x:v>021 796 70 70</x:v>
      </x:c>
      <x:c r="E8" s="15" t="str">
        <x:v>info@ems-lemarronnier.ch</x:v>
      </x:c>
      <x:c r="F8" s="15" t="str">
        <x:v>Long-stay EMS; medical, nursing, socio-hotel care; animation; CAT operated by same foundation</x:v>
      </x:c>
      <x:c r="G8" s="15" t="str">
        <x:v>Official site states admission criteria include age &gt;65, Vaud residence with priority to Lutry/nearby, voluntary long-stay placement; it explicitly says Le Marronnier offers no short-stay bed.</x:v>
      </x:c>
      <x:c r="H8" s="15" t="str">
        <x:v>https://www.ems-lemarronnier.ch/</x:v>
      </x:c>
      <x:c r="I8" s="15" t="str">
        <x:v>Deep-enriched; keep CAT separate from EMS service facts</x:v>
      </x:c>
      <x:c r="J8" s="15" t="str"/>
      <x:c r="K8" s="15"/>
    </x:row>
    <x:row r="9">
      <x:c r="A9" s="15" t="str">
        <x:v>ems-signal</x:v>
      </x:c>
      <x:c r="B9" s="15" t="str">
        <x:v>Résidence Le Signal</x:v>
      </x:c>
      <x:c r="C9" s="15" t="str">
        <x:v>Route du Signal 6, 1080 Les Cullayes</x:v>
      </x:c>
      <x:c r="D9" s="15" t="str">
        <x:v>021 903 11 66</x:v>
      </x:c>
      <x:c r="E9" s="15" t="str">
        <x:v>secretariat@ems-lesignal.ch</x:v>
      </x:c>
      <x:c r="F9" s="15" t="str">
        <x:v>Geriatric and compatible advanced-age psychiatric care; short and long stays; palliative care; animation; gardens; beauty/hairdressing; catering</x:v>
      </x:c>
      <x:c r="G9" s="15" t="str">
        <x:v>Official site describes a medium-sized EMS of around 30 residents, geriatric/PAA-compatible care, palliative care, short and long stays, and extensive living amenities.</x:v>
      </x:c>
      <x:c r="H9" s="15" t="str">
        <x:v>https://www.ems-lesignal.ch/</x:v>
      </x:c>
      <x:c r="I9" s="15" t="str">
        <x:v>Deep-enriched</x:v>
      </x:c>
      <x:c r="J9" s="15" t="str"/>
      <x:c r="K9" s="15"/>
    </x:row>
    <x:row r="10">
      <x:c r="A10" s="15" t="str">
        <x:v>ems-arcades</x:v>
      </x:c>
      <x:c r="B10" s="15" t="str">
        <x:v>EMS Les Arcades</x:v>
      </x:c>
      <x:c r="C10" s="15" t="str">
        <x:v>Avenue William 15, 1095 Lutry</x:v>
      </x:c>
      <x:c r="D10" s="15" t="str">
        <x:v>021 796 13 00</x:v>
      </x:c>
      <x:c r="E10" s="15" t="str"/>
      <x:c r="F10" s="15" t="str">
        <x:v>Advanced-age psychiatry EMS</x:v>
      </x:c>
      <x:c r="G10" s="15" t="str">
        <x:v>Current Réseau Santé Région Lausanne directory identifies Les Arcades at Avenue William 15 and marks its mission as psychiatrie de l'âge avancé. Odysse's current site confirms the address but has little service detail.</x:v>
      </x:c>
      <x:c r="H10" s="15" t="str">
        <x:v>https://www.reseau-sante-region-lausanne.ch/membres-ems/</x:v>
      </x:c>
      <x:c r="I10" s="15" t="str">
        <x:v>Partial deep enrichment — do not use third-party email as verified yet</x:v>
      </x:c>
      <x:c r="J10" s="15"/>
      <x:c r="K10" s="15"/>
    </x:row>
    <x:row r="11">
      <x:c r="A11" s="15" t="str">
        <x:v>ems-boveresses</x:v>
      </x:c>
      <x:c r="B11" s="15" t="str">
        <x:v>Tertianum Les Boveresses</x:v>
      </x:c>
      <x:c r="C11" s="15" t="str">
        <x:v>Avenue des Boveresses 31, 1010 Lausanne</x:v>
      </x:c>
      <x:c r="D11" s="15" t="str">
        <x:v>021 654 06 06</x:v>
      </x:c>
      <x:c r="E11" s="15" t="str">
        <x:v>lesboveresses@tertianum.ch</x:v>
      </x:c>
      <x:c r="F11" s="15" t="str">
        <x:v>Long-term care; short/respite care; palliative care; 24/7 support; physiotherapy; occupational therapy; hairdresser; podology; activities; laundry; cleaning</x:v>
      </x:c>
      <x:c r="G11" s="15" t="str">
        <x:v>Current official Tertianum page provides detailed care/service information and current contact details. Tertianum's 2023 report states 42 beds. The provider page also exposes live availability, which must be timestamped rather than stored as a permanent fact.</x:v>
      </x:c>
      <x:c r="H11" s="15" t="str">
        <x:v>https://www.tertianum.ch/fr/etablissement-medico-sociaux/tertianum-les-boveresses</x:v>
      </x:c>
      <x:c r="I11" s="15" t="str">
        <x:v>Deep-enriched</x:v>
      </x:c>
      <x:c r="J11" s="15"/>
      <x:c r="K11" s="15"/>
    </x:row>
    <x:row r="12">
      <x:c r="A12" s="15" t="str">
        <x:v>ems-lys</x:v>
      </x:c>
      <x:c r="B12" s="15" t="str">
        <x:v>Etablissement Les Lys</x:v>
      </x:c>
      <x:c r="C12" s="15" t="str">
        <x:v>Rue des Métiers 3, 1008 Prilly</x:v>
      </x:c>
      <x:c r="D12" s="15" t="str">
        <x:v>021 545 55 55</x:v>
      </x:c>
      <x:c r="E12" s="15" t="str">
        <x:v>info@primeroche.ch</x:v>
      </x:c>
      <x:c r="F12" s="15" t="str">
        <x:v>Psychogeriatric care; mixed EMS/EPSM units; hairdresser; aesthetic care; pedicure; aromatherapy; art therapy; music therapy; animation</x:v>
      </x:c>
      <x:c r="G12" s="15" t="str">
        <x:v>Current Primeroche page distinguishes EMS and EPSM care units and describes its admission-priority policy for foundation communes and neighbours.</x:v>
      </x:c>
      <x:c r="H12" s="15" t="str">
        <x:v>https://www.primeroche.ch/etablissement-les-lys</x:v>
      </x:c>
      <x:c r="I12" s="15" t="str">
        <x:v>Deep-enriched; preserve multiple care offerings</x:v>
      </x:c>
      <x:c r="J12" s="15"/>
      <x:c r="K12" s="15"/>
    </x:row>
    <x:row r="13">
      <x:c r="A13" s="15" t="str">
        <x:v>ems-novalles</x:v>
      </x:c>
      <x:c r="B13" s="15" t="str">
        <x:v>EMS Les Novalles</x:v>
      </x:c>
      <x:c r="C13" s="15" t="str">
        <x:v>Renens, Vaud</x:v>
      </x:c>
      <x:c r="D13" s="15" t="str">
        <x:v>021 634 74 66</x:v>
      </x:c>
      <x:c r="E13" s="15" t="str">
        <x:v>abaechler.novalles@jbcgroup.ch</x:v>
      </x:c>
      <x:c r="F13" s="15" t="str">
        <x:v>Advanced-age psychiatric mission; 21 residents; individual/double rooms; personalized nursing; animation; physio; podology; hairdresser; short/observation stays</x:v>
      </x:c>
      <x:c r="G13" s="15" t="str">
        <x:v>Official JBC page gives detailed services, financing context and BRIO-linked admission process. The page's footer uses the group's Lussy address, so exact street address for the Renens establishment still needs a separate authoritative confirmation.</x:v>
      </x:c>
      <x:c r="H13" s="15" t="str">
        <x:v>https://jbcgroup.ch/ems/les-novalles</x:v>
      </x:c>
      <x:c r="I13" s="15" t="str">
        <x:v>Deep-enriched — exact site address still to confirm</x:v>
      </x:c>
      <x:c r="J13" s="15"/>
      <x:c r="K13" s="15"/>
    </x:row>
    <x:row r="14">
      <x:c r="A14" s="15" t="str">
        <x:v>ems-meillerie</x:v>
      </x:c>
      <x:c r="B14" s="15" t="str">
        <x:v>EMS Meillerie</x:v>
      </x:c>
      <x:c r="C14" s="15" t="str">
        <x:v>Chemin de Meillerie 6, 1006 Lausanne</x:v>
      </x:c>
      <x:c r="D14" s="15" t="str">
        <x:v>058 211 70 00</x:v>
      </x:c>
      <x:c r="E14" s="15" t="str">
        <x:v>info@rozavere.ch</x:v>
      </x:c>
      <x:c r="F14" s="15" t="str">
        <x:v>Geriatric care; 26 residents; individual/double rooms; sensory wellbeing; external physio/podology/ergotherapy; dental care; family support; zootherapy</x:v>
      </x:c>
      <x:c r="G14" s="15" t="str">
        <x:v>Current Fondation La Rozavère page provides exact address/contact and a detailed description of care and wellbeing services.</x:v>
      </x:c>
      <x:c r="H14" s="15" t="str">
        <x:v>https://rozavere.ch/resider/ems-meillerie/</x:v>
      </x:c>
      <x:c r="I14" s="15" t="str">
        <x:v>Deep-enriched</x:v>
      </x:c>
      <x:c r="J14" s="15"/>
      <x:c r="K14" s="15"/>
    </x:row>
    <x:row r="15">
      <x:c r="A15" s="15" t="str">
        <x:v>ems-odysse</x:v>
      </x:c>
      <x:c r="B15" s="15" t="str">
        <x:v>Résidence Odysse</x:v>
      </x:c>
      <x:c r="C15" s="15" t="str">
        <x:v>Chemin de Crêt-de-Plan 122, 1093 Lutry</x:v>
      </x:c>
      <x:c r="D15" s="15" t="str">
        <x:v>021 796 30 90</x:v>
      </x:c>
      <x:c r="E15" s="15" t="str"/>
      <x:c r="F15" s="15" t="str">
        <x:v>Geriatric EMS</x:v>
      </x:c>
      <x:c r="G15" s="15" t="str">
        <x:v>Current Odysse site confirms this establishment and address; the regional health network classifies Odysse as geriatric. Provider website is currently under construction, so service-level enrichment remains limited.</x:v>
      </x:c>
      <x:c r="H15" s="15" t="str">
        <x:v>https://www.odysse.ch/</x:v>
      </x:c>
      <x:c r="I15" s="15" t="str">
        <x:v>Partial deep enrichment</x:v>
      </x:c>
      <x:c r="J15" s="15"/>
      <x:c r="K15" s="15"/>
    </x:row>
    <x:row r="16">
      <x:c r="A16" s="15" t="str">
        <x:v>ems-valency</x:v>
      </x:c>
      <x:c r="B16" s="15" t="str">
        <x:v>EMS Parc de Valency</x:v>
      </x:c>
      <x:c r="C16" s="15" t="str">
        <x:v>Route de Prilly 18, 1004 Lausanne</x:v>
      </x:c>
      <x:c r="D16" s="15" t="str">
        <x:v>058 748 84 60</x:v>
      </x:c>
      <x:c r="E16" s="15" t="str">
        <x:v>olivia.chevalley@altage.ch</x:v>
      </x:c>
      <x:c r="F16" s="15" t="str">
        <x:v>Geriatric EMS; 20 beds; individual/double rooms; physiotherapy; weekly EMS doctor; free visiting; garden; all rooms with balcony</x:v>
      </x:c>
      <x:c r="G16" s="15" t="str">
        <x:v>Official altage page states all admissions are organized by BRIO and confirms conventioned Vaud financing context and current practical details.</x:v>
      </x:c>
      <x:c r="H16" s="15" t="str">
        <x:v>https://altage.ch/etablissement-medico-sociaux/ems-parc-de-valency/</x:v>
      </x:c>
      <x:c r="I16" s="15" t="str">
        <x:v>Deep-enriched</x:v>
      </x:c>
      <x:c r="J16" s="15" t="str"/>
      <x:c r="K16" s="15"/>
    </x:row>
    <x:row r="17">
      <x:c r="A17" s="15" t="str">
        <x:v>ems-petit-flon</x:v>
      </x:c>
      <x:c r="B17" s="15" t="str">
        <x:v>EMS Petit-Flon</x:v>
      </x:c>
      <x:c r="C17" s="15" t="str">
        <x:v>Chemin du Petit-Flon 49, CP 180, 1000 Lausanne 18</x:v>
      </x:c>
      <x:c r="D17" s="15" t="str">
        <x:v>021 512 32 00</x:v>
      </x:c>
      <x:c r="E17" s="15" t="str">
        <x:v>reception.petit-flon@fbg.ch</x:v>
      </x:c>
      <x:c r="F17" s="15" t="str">
        <x:v>Geriatric / compatible psychogeriatric EMS; 77 beds; 21 single + 28 double rooms; individualized accompaniment; on-site restaurant; dietetic support; activities; pre-visits possible</x:v>
      </x:c>
      <x:c r="G17" s="15" t="str">
        <x:v>Official Bois-Gentil material confirms 77 beds and room mix. Admission pathway starts with the relevant BRIO, although pre-visits can be arranged directly.</x:v>
      </x:c>
      <x:c r="H17" s="15" t="str">
        <x:v>https://www.fbg.ch/personne-agee/quest-ce-quun-ems/ems-petit-flon/</x:v>
      </x:c>
      <x:c r="I17" s="15" t="str">
        <x:v>Deep-enriched</x:v>
      </x:c>
      <x:c r="J17" s="15" t="str"/>
      <x:c r="K17" s="15"/>
    </x:row>
    <x:row r="18">
      <x:c r="A18" s="15" t="str">
        <x:v>ems-pre-pariset</x:v>
      </x:c>
      <x:c r="B18" s="15" t="str">
        <x:v>EMS Pré Pariset</x:v>
      </x:c>
      <x:c r="C18" s="15" t="str">
        <x:v>Chemin du Stand 1, 1009 Pully</x:v>
      </x:c>
      <x:c r="D18" s="15" t="str">
        <x:v>021 721 18 11</x:v>
      </x:c>
      <x:c r="E18" s="15" t="str">
        <x:v>pre-pariset@pre-pariset.ch</x:v>
      </x:c>
      <x:c r="F18" s="15" t="str">
        <x:v>Long-stay EMS; individual/double rooms; floor lounges/dining rooms; wellbeing salon; aesthetics/podology; hairdresser; library; animation; terrace and park</x:v>
      </x:c>
      <x:c r="G18" s="15" t="str">
        <x:v>Official foundation site confirms the site, room configuration and shared amenities. Fondation Pré Pariset also operates Pré de la Tour and Haute Combe.</x:v>
      </x:c>
      <x:c r="H18" s="15" t="str">
        <x:v>https://www.pre-pariset.ch/etablissements/pre_pariset</x:v>
      </x:c>
      <x:c r="I18" s="15" t="str">
        <x:v>Deep-enriched</x:v>
      </x:c>
      <x:c r="J18" s="15" t="str">
        <x:v>Private institution recognized as being of public interest (RIP)</x:v>
      </x:c>
      <x:c r="K18" s="15"/>
    </x:row>
    <x:row r="19">
      <x:c r="A19" s="15" t="str">
        <x:v>ems-pre-tour</x:v>
      </x:c>
      <x:c r="B19" s="15" t="str">
        <x:v>EMS Pré de la Tour</x:v>
      </x:c>
      <x:c r="C19" s="15" t="str">
        <x:v>Place Neuve 3, 1009 Pully</x:v>
      </x:c>
      <x:c r="D19" s="15" t="str">
        <x:v>021 721 18 11</x:v>
      </x:c>
      <x:c r="E19" s="15" t="str">
        <x:v>pre-pariset@pre-pariset.ch</x:v>
      </x:c>
      <x:c r="F19" s="15" t="str">
        <x:v>Long-stay EMS; individual/double rooms; wellbeing salon; dining room/terrace; public restaurant Le Delta; CAT in the same building; animation terrace</x:v>
      </x:c>
      <x:c r="G19" s="15" t="str">
        <x:v>Official foundation site confirms the site and amenities. Fondation Pré Pariset states it offers long and short stays across the foundation and operates a CAT; do not automatically attribute every foundation-wide service to this one EMS without site-specific confirmation.</x:v>
      </x:c>
      <x:c r="H19" s="15" t="str">
        <x:v>https://www.pre-pariset.ch/etablissements/pre_de_la_tour</x:v>
      </x:c>
      <x:c r="I19" s="15" t="str">
        <x:v>Deep-enriched</x:v>
      </x:c>
      <x:c r="J19" s="15" t="str">
        <x:v>Private institution recognized as being of public interest (RIP)</x:v>
      </x:c>
      <x:c r="K19" s="15"/>
    </x:row>
    <x:row r="20">
      <x:c r="A20" s="15" t="str">
        <x:v>ems-pre-fleuri</x:v>
      </x:c>
      <x:c r="B20" s="15" t="str">
        <x:v>Résidence Pré-Fleuri</x:v>
      </x:c>
      <x:c r="C20" s="15" t="str">
        <x:v>Route de la Clochatte 10C, 1018 Lausanne</x:v>
      </x:c>
      <x:c r="D20" s="15" t="str">
        <x:v>021 652 14 22</x:v>
      </x:c>
      <x:c r="E20" s="15" t="str">
        <x:v>info@pre-fleuri.ch</x:v>
      </x:c>
      <x:c r="F20" s="15" t="str">
        <x:v>Advanced-age psychiatry mission; 53 residents; individual rooms; semi-private bathrooms; Wi-Fi; unit lounges; garden/terrace; dining; animation; medical psychogeriatric follow-up</x:v>
      </x:c>
      <x:c r="G20" s="15" t="str">
        <x:v>Official provider site confirms the mission, 53-resident capacity, rooms, shared spaces, current contact details and admission documentation.</x:v>
      </x:c>
      <x:c r="H20" s="15" t="str">
        <x:v>https://www.pre-fleuri.ch/</x:v>
      </x:c>
      <x:c r="I20" s="15" t="str">
        <x:v>Deep-enriched</x:v>
      </x:c>
      <x:c r="J20" s="15" t="str"/>
      <x:c r="K20" s="15"/>
    </x:row>
    <x:row r="21">
      <x:c r="A21" s="15" t="str">
        <x:v>ems-girarde</x:v>
      </x:c>
      <x:c r="B21" s="15" t="str">
        <x:v>Résidence La Girarde</x:v>
      </x:c>
      <x:c r="C21" s="15" t="str">
        <x:v>Chemin de la Girarde 2, 1066 Épalinges</x:v>
      </x:c>
      <x:c r="D21" s="15" t="str">
        <x:v>021 711 72 00</x:v>
      </x:c>
      <x:c r="E21" s="15" t="str"/>
      <x:c r="F21" s="15" t="str">
        <x:v>Long-stay EMS; 62 residents; advanced-age psychiatry mission; nursing and medical support; psychiatrist; podology; massage; hairdresser; activities; mobility support; CAT separately operated</x:v>
      </x:c>
      <x:c r="G21" s="15" t="str">
        <x:v>Official Fondation du Relais sources confirm 62 long-stay beds, detailed care/animation services and that admissions are managed by BRIO. CAT is a separate offering and must not be conflated with EMS capacity.</x:v>
      </x:c>
      <x:c r="H21" s="15" t="str">
        <x:v>https://www.fondationdurelais.ch/la-girarde-prestations/</x:v>
      </x:c>
      <x:c r="I21" s="15" t="str">
        <x:v>Deep-enriched</x:v>
      </x:c>
      <x:c r="J21" s="15" t="str">
        <x:v>Non-profit institution recognized as being of public interest (RIP)</x:v>
      </x:c>
      <x:c r="K21" s="15"/>
    </x:row>
    <x:row r="22">
      <x:c r="A22" s="15" t="str">
        <x:v>ems-tremieres</x:v>
      </x:c>
      <x:c r="B22" s="15" t="str">
        <x:v>Résidence Les Trémières</x:v>
      </x:c>
      <x:c r="C22" s="15" t="str">
        <x:v>Chemin de Pré-Fleuri 8, 1006 Lausanne</x:v>
      </x:c>
      <x:c r="D22" s="15" t="str">
        <x:v>021 616 88 26</x:v>
      </x:c>
      <x:c r="E22" s="15" t="str">
        <x:v>ems@residence-tremieres.ch</x:v>
      </x:c>
      <x:c r="F22" s="15" t="str">
        <x:v>Geriatric EMS; 28 beds</x:v>
      </x:c>
      <x:c r="G22" s="15" t="str">
        <x:v>Current regional health-network directory confirms the address, phone and geriatric mission; 2026 Canton list confirms 28 EMS beds. The provider website indexed online is old, so richer service claims still need a fresh primary source.</x:v>
      </x:c>
      <x:c r="H22" s="15" t="str">
        <x:v>https://www.reseau-sante-region-lausanne.ch/membres-ems/</x:v>
      </x:c>
      <x:c r="I22" s="15" t="str">
        <x:v>Partial deep enrichment — current service details still needed</x:v>
      </x:c>
      <x:c r="J22" s="15" t="str"/>
      <x:c r="K22" s="15"/>
    </x:row>
    <x:row r="23">
      <x:c r="A23" s="15" t="str">
        <x:v>ems-praz-joret</x:v>
      </x:c>
      <x:c r="B23" s="15" t="str">
        <x:v>Résidence Praz Joret</x:v>
      </x:c>
      <x:c r="C23" s="15" t="str">
        <x:v>Route de Servion 36A, 1083 Mézières VD</x:v>
      </x:c>
      <x:c r="D23" s="15" t="str">
        <x:v>021 903 09 40</x:v>
      </x:c>
      <x:c r="E23" s="15" t="str">
        <x:v>admin@emsdujorat.ch</x:v>
      </x:c>
      <x:c r="F23" s="15" t="str">
        <x:v>Geriatric and compatible psychogeriatric care; palliative care expertise; long stay; short stay; individualized accompaniment; animation; restoration; large park</x:v>
      </x:c>
      <x:c r="G23" s="15" t="str">
        <x:v>Current Fondation EMS du Jorat site confirms two sites (Praz Joret and Le Signal), shared geriatric/compatible psychogeriatric/palliative-care mission, and current Praz Joret contact details.</x:v>
      </x:c>
      <x:c r="H23" s="15" t="str">
        <x:v>https://www.ems-prazjoret.ch/</x:v>
      </x:c>
      <x:c r="I23" s="15" t="str">
        <x:v>Deep-enriched</x:v>
      </x:c>
      <x:c r="J23" s="15" t="str"/>
      <x:c r="K23" s="15"/>
    </x:row>
    <x:row r="24">
      <x:c r="A24" s="15" t="str">
        <x:v>ems-rozavere</x:v>
      </x:c>
      <x:c r="B24" s="15" t="str">
        <x:v>EMS Rovéréaz</x:v>
      </x:c>
      <x:c r="C24" s="15" t="str">
        <x:v>Chemin de Rovéréaz 23, 1012 Lausanne</x:v>
      </x:c>
      <x:c r="D24" s="15" t="str">
        <x:v>058 211 70 00</x:v>
      </x:c>
      <x:c r="E24" s="15" t="str">
        <x:v>info@rozavere.ch</x:v>
      </x:c>
      <x:c r="F24" s="15" t="str">
        <x:v>Geriatric and advanced-age psychiatric missions across the site; 50 residents in R1 Ouest-Est geriatric unit; individualized accompaniment; social/wellbeing activities; SPAH on same site as separate transitional offering</x:v>
      </x:c>
      <x:c r="G24" s="15" t="str">
        <x:v>Current Fondation La Rozavère page distinguishes the EMS from the 30-bed SPAH transitional structure. Keep SPAH as a separate offering rather than EMS capacity.</x:v>
      </x:c>
      <x:c r="H24" s="15" t="str">
        <x:v>https://rozavere.ch/resider/ems-rovereaz/</x:v>
      </x:c>
      <x:c r="I24" s="15" t="str">
        <x:v>Deep-enriched</x:v>
      </x:c>
      <x:c r="J24" s="15" t="str"/>
      <x:c r="K24" s="15"/>
    </x:row>
    <x:row r="25">
      <x:c r="A25" s="15" t="str">
        <x:v>ems-sauvabelin</x:v>
      </x:c>
      <x:c r="B25" s="15" t="str">
        <x:v>EMS Sauvabelin</x:v>
      </x:c>
      <x:c r="C25" s="15" t="str">
        <x:v>Route du Pavement 20, CP 115, 1000 Lausanne 18</x:v>
      </x:c>
      <x:c r="D25" s="15" t="str">
        <x:v>021 512 34 00</x:v>
      </x:c>
      <x:c r="E25" s="15" t="str">
        <x:v>reception.sauvabelin@fbg.ch</x:v>
      </x:c>
      <x:c r="F25" s="15" t="str">
        <x:v>Geriatric / compatible psychogeriatric EMS; 56 beds; 48 single + 4 double rooms; individualized accompaniment; public restaurant/terrace; activities; pre-visits possible</x:v>
      </x:c>
      <x:c r="G25" s="15" t="str">
        <x:v>Official Bois-Gentil material confirms capacity and room mix. Admission starts through the relevant BRIO, with direct pre-visits available.</x:v>
      </x:c>
      <x:c r="H25" s="15" t="str">
        <x:v>https://www.fbg.ch/personne-agee/quest-ce-quun-ems/ems-sauvabelin/</x:v>
      </x:c>
      <x:c r="I25" s="15" t="str">
        <x:v>Deep-enriched</x:v>
      </x:c>
      <x:c r="J25" s="15" t="str"/>
      <x:c r="K25" s="15"/>
    </x:row>
    <x:row r="26">
      <x:c r="A26" s="15" t="str">
        <x:v>ems-mauri</x:v>
      </x:c>
      <x:c r="B26" s="15" t="str">
        <x:v>Fondation Donatella Mauri</x:v>
      </x:c>
      <x:c r="C26" s="15" t="str">
        <x:v>Chemin du Brit 2, CP 17, 1032 Romanel-sur-Lausanne</x:v>
      </x:c>
      <x:c r="D26" s="15" t="str">
        <x:v>021 641 07 00</x:v>
      </x:c>
      <x:c r="E26" s="15" t="str">
        <x:v>administration@donatellamauri.ch</x:v>
      </x:c>
      <x:c r="F26" s="15" t="str">
        <x:v>Advanced-age psychiatry institution; 58 long-stay residents; medico-social accompaniment 24/7; secure/closed structure with access to garden/terraces for residents retaining independence; CAT is separate</x:v>
      </x:c>
      <x:c r="G26" s="15" t="str">
        <x:v>Official foundation site confirms current address/contact, 58 long-stay residents, psychiatric mission and a separate CAT for up to 10 daytime beneficiaries. Its history confirms the former EMS La Naz closed in 2009 and moved here.</x:v>
      </x:c>
      <x:c r="H26" s="15" t="str">
        <x:v>https://donatellamauri.ch/</x:v>
      </x:c>
      <x:c r="I26" s="15" t="str">
        <x:v>Deep-enriched</x:v>
      </x:c>
      <x:c r="J26" s="15" t="str"/>
      <x:c r="K26" s="15"/>
    </x:row>
    <x:row r="27">
      <x:c r="A27" s="15" t="str">
        <x:v>ems-meridienne</x:v>
      </x:c>
      <x:c r="B27" s="15" t="str">
        <x:v>EMS La Méridienne</x:v>
      </x:c>
      <x:c r="C27" s="15" t="str">
        <x:v>Sur la Croix 3, 1020 Renens</x:v>
      </x:c>
      <x:c r="D27" s="15" t="str">
        <x:v>021 634 52 52</x:v>
      </x:c>
      <x:c r="E27" s="15" t="str">
        <x:v>meinfo@fondationlaprimerose.ch</x:v>
      </x:c>
      <x:c r="F27" s="15" t="str">
        <x:v>Psychiatry of advanced age; 14 residents; long stay; 4 secured floors; interdisciplinary care; individual/group activities; garden and terrace; podology and hairdresser</x:v>
      </x:c>
      <x:c r="G27" s="15" t="str">
        <x:v>Official Fondation La Primerose page confirms 14 residents and the psychiatry-of-advanced-age mission. A CAT operates at the same establishment but must remain a separate offering.</x:v>
      </x:c>
      <x:c r="H27" s="15" t="str">
        <x:v>https://www.fondationlaprimerose.ch/etablissement/la-meridienne/</x:v>
      </x:c>
      <x:c r="I27" s="15" t="str">
        <x:v>Deep-enriched</x:v>
      </x:c>
      <x:c r="J27" s="15" t="str"/>
      <x:c r="K27" s="15" t="str">
        <x:v>https://www.fondationlaprimerose.ch/etablissement/cat-la-meridienne/</x:v>
      </x:c>
    </x:row>
    <x:row r="28">
      <x:c r="A28" s="15" t="str">
        <x:v>ems-paix-soir</x:v>
      </x:c>
      <x:c r="B28" s="15" t="str">
        <x:v>EMS La Paix du Soir</x:v>
      </x:c>
      <x:c r="C28" s="15" t="str">
        <x:v>Chemin de Longeraie 9, 1052 Le Mont-sur-Lausanne</x:v>
      </x:c>
      <x:c r="D28" s="15" t="str">
        <x:v>021 651 66 66</x:v>
      </x:c>
      <x:c r="E28" s="15" t="str">
        <x:v>info@paixdusoir.ch</x:v>
      </x:c>
      <x:c r="F28" s="15" t="str">
        <x:v>EMS for older people with physical, psychological or cognitive loss of autonomy; nursing and socio-cultural accompaniment; on-site restaurant; family-oriented activities</x:v>
      </x:c>
      <x:c r="G28" s="15" t="str">
        <x:v>Current provider site clearly separates the EMS from SPAH, CAT and protected-housing offerings on the same campus. Those must not be merged into one EMS service record.</x:v>
      </x:c>
      <x:c r="H28" s="15" t="str">
        <x:v>https://www.paixdusoir.ch/services/ems</x:v>
      </x:c>
      <x:c r="I28" s="15" t="str">
        <x:v>Deep-enriched</x:v>
      </x:c>
      <x:c r="J28" s="15" t="str"/>
      <x:c r="K28" s="15" t="str">
        <x:v>https://www.paixdusoir.ch/a-propos-de-nous/presentation</x:v>
      </x:c>
    </x:row>
    <x:row r="29">
      <x:c r="A29" s="15" t="str">
        <x:v>ems-vernie</x:v>
      </x:c>
      <x:c r="B29" s="15" t="str">
        <x:v>EMS La Vernie</x:v>
      </x:c>
      <x:c r="C29" s="15" t="str">
        <x:v>Route de Marcolet 39, 1023 Crissier</x:v>
      </x:c>
      <x:c r="D29" s="15" t="str">
        <x:v>021 637 73 73</x:v>
      </x:c>
      <x:c r="E29" s="15" t="str">
        <x:v>veinfo@fondationlaprimerose.ch</x:v>
      </x:c>
      <x:c r="F29" s="15" t="str">
        <x:v>Psychiatry of advanced age; 30 EMS beds; long stay; 2 community-style living units; individual rooms plus some couple rooms; interdisciplinary care; patio and secure terrace; podology, hairdresser and dentist</x:v>
      </x:c>
      <x:c r="G29" s="15" t="str">
        <x:v>Official provider page confirms the EMS structure and 30 beds. Fondation La Primerose also operates an EPSM called La Vernie, so Lia must keep the EMS and EPSM offerings distinct.</x:v>
      </x:c>
      <x:c r="H29" s="15" t="str">
        <x:v>https://www.fondationlaprimerose.ch/etablissement/la-vernie/</x:v>
      </x:c>
      <x:c r="I29" s="15" t="str">
        <x:v>Deep-enriched</x:v>
      </x:c>
      <x:c r="J29" s="15" t="str"/>
      <x:c r="K29" s="15" t="str">
        <x:v>https://www.fondationlaprimerose.ch/nos-etablissements/</x:v>
      </x:c>
    </x:row>
    <x:row r="30">
      <x:c r="A30" s="15" t="str">
        <x:v>ems-grand-pre</x:v>
      </x:c>
      <x:c r="B30" s="15" t="str">
        <x:v>Etablissement Le Grand Pré</x:v>
      </x:c>
      <x:c r="C30" s="15" t="str">
        <x:v>Rue du Grand Pré 2, 1033 Cheseaux-sur-Lausanne</x:v>
      </x:c>
      <x:c r="D30" s="15" t="str">
        <x:v>021 545 55 55</x:v>
      </x:c>
      <x:c r="E30" s="15" t="str">
        <x:v>info@primeroche.ch</x:v>
      </x:c>
      <x:c r="F30" s="15" t="str">
        <x:v>Mixed EMS/EPSM establishment; 48 residents in individual rooms; restaurant and animation; hairdresser; aesthetic care; pedicure; aromatherapy; art therapy; music therapy; wellbeing/balneotherapy space</x:v>
      </x:c>
      <x:c r="G30" s="15" t="str">
        <x:v>Primeroche's current establishment page separates the Pré Marchand EMS/EPSM unit from the Bois Bossy EMS unit. A foundation brochure states 48 residents and details the amenities and admission priorities.</x:v>
      </x:c>
      <x:c r="H30" s="15" t="str">
        <x:v>https://www.primeroche.ch/etablissement-le-grand-pre-2</x:v>
      </x:c>
      <x:c r="I30" s="15" t="str">
        <x:v>Deep-enriched</x:v>
      </x:c>
      <x:c r="J30" s="15" t="str"/>
      <x:c r="K30" s="15" t="str">
        <x:v>https://www.primeroche.ch/wp-content/uploads/2024/08/EMS-GP22.pdf</x:v>
      </x:c>
    </x:row>
    <x:row r="31">
      <x:c r="A31" s="15" t="str">
        <x:v>ems-pins</x:v>
      </x:c>
      <x:c r="B31" s="15" t="str">
        <x:v>EMS Les Pins</x:v>
      </x:c>
      <x:c r="C31" s="15" t="str">
        <x:v>Chemin de Grand-Vennes 15, 1010 Lausanne</x:v>
      </x:c>
      <x:c r="D31" s="15" t="str">
        <x:v>021 654 46 54</x:v>
      </x:c>
      <x:c r="E31" s="15" t="str">
        <x:v>info@lehome-lespins.ch</x:v>
      </x:c>
      <x:c r="F31" s="15" t="str">
        <x:v>Long-stay psychiatry-of-advanced-age EMS; 60 residents; nursing care; socio-hotel services; individualized/group activities; mobility-adapted transport</x:v>
      </x:c>
      <x:c r="G31" s="15" t="str">
        <x:v>The Home–Les Pins organization confirms two separate sites: Le Home (31 places) and Les Pins (60). Les Pins is the administrative site. Admissions are mission-dependent and the provider points families to BRIO when needed.</x:v>
      </x:c>
      <x:c r="H31" s="15" t="str">
        <x:v>https://www.lehome-lespins.ch/</x:v>
      </x:c>
      <x:c r="I31" s="15" t="str">
        <x:v>Deep-enriched</x:v>
      </x:c>
      <x:c r="J31" s="15" t="str">
        <x:v>Recognized public-interest EMS; operator is a public-utility-recognized SA</x:v>
      </x:c>
      <x:c r="K31" s="15" t="str">
        <x:v>https://www.lehome-lespins.ch/admissions-et-questions/</x:v>
      </x:c>
    </x:row>
    <x:row r="32">
      <x:c r="A32" s="15" t="str">
        <x:v>ems-bethanie</x:v>
      </x:c>
      <x:c r="B32" s="15" t="str">
        <x:v>Institution de Béthanie</x:v>
      </x:c>
      <x:c r="C32" s="15" t="str">
        <x:v>Avenue de la Vallombreuse 34, 1004 Lausanne</x:v>
      </x:c>
      <x:c r="D32" s="15" t="str">
        <x:v>+41 21 641 71 50</x:v>
      </x:c>
      <x:c r="E32" s="15" t="str">
        <x:v>info@bethanie.ch</x:v>
      </x:c>
      <x:c r="F32" s="15" t="str">
        <x:v>Geriatric and psychogeriatric long stay; dedicated short-stay unit; Montessori-based accompaniment; individual/double rooms; 47 protected apartments on the same site as a separate housing offering</x:v>
      </x:c>
      <x:c r="G32" s="15" t="str">
        <x:v>Official page has a data-quality discrepancy: the heading says 120 beds, while the detailed text states 119 beds (54 Coteaux + 65 Terrasses). Store the conflict rather than silently choosing one.</x:v>
      </x:c>
      <x:c r="H32" s="15" t="str">
        <x:v>https://bethanie.ch/presentation/</x:v>
      </x:c>
      <x:c r="I32" s="15" t="str">
        <x:v>Deep-enriched — capacity conflict flagged</x:v>
      </x:c>
      <x:c r="J32" s="15" t="str"/>
      <x:c r="K32" s="15" t="str">
        <x:v>https://bethanie.ch/</x:v>
      </x:c>
    </x:row>
    <x:row r="33">
      <x:c r="A33" s="15" t="str">
        <x:v>ems-jardins-leman</x:v>
      </x:c>
      <x:c r="B33" s="15" t="str">
        <x:v>EMS Les Jardins du Léman</x:v>
      </x:c>
      <x:c r="C33" s="15" t="str">
        <x:v>Route de l'Hôpital 24, 1180 Rolle</x:v>
      </x:c>
      <x:c r="D33" s="15" t="str">
        <x:v>+41 21 703 53 00</x:v>
      </x:c>
      <x:c r="E33" s="15" t="str">
        <x:v>emslesjardinsduleman@ghol.ch</x:v>
      </x:c>
      <x:c r="F33" s="15" t="str">
        <x:v>Medical-social, hotel, nursing and animation services; individual rooms with private bathroom, TV, phone and internet; accessible gardens; restaurant; physiotherapy; occupational therapy; podology; dentistry; psychogeriatric consultant</x:v>
      </x:c>
      <x:c r="G33" s="15" t="str">
        <x:v>GHOL states registration is only through the BRIO of Réseau Santé La Côte. The provider publishes detailed multidisciplinary care and wellbeing services.</x:v>
      </x:c>
      <x:c r="H33" s="15" t="str">
        <x:v>https://www.ghol.ch/jcms/fr/navigation/ems-les-jardins-du-leman/devenir-resident-e/devenir-resident-e-p_137625.html</x:v>
      </x:c>
      <x:c r="I33" s="15" t="str">
        <x:v>Deep-enriched</x:v>
      </x:c>
      <x:c r="J33" s="15" t="str"/>
      <x:c r="K33" s="15" t="str">
        <x:v>https://www.ghol.ch/jcms/fr/navigation/ems-les-jardins-du-leman/ems-les-jardins-du-leman-p_5756.html</x:v>
      </x:c>
    </x:row>
    <x:row r="34">
      <x:c r="A34" s="15" t="str">
        <x:v>ems-laurelles-vevey</x:v>
      </x:c>
      <x:c r="B34" s="15" t="str">
        <x:v>EMS Les Laurelles</x:v>
      </x:c>
      <x:c r="C34" s="15" t="str">
        <x:v>Avenue de Collonge 9, 1820 Territet-Montreux</x:v>
      </x:c>
      <x:c r="D34" s="15" t="str">
        <x:v>021 962 44 11</x:v>
      </x:c>
      <x:c r="E34" s="15" t="str">
        <x:v>info.laurelles@balconsdulac.ch</x:v>
      </x:c>
      <x:c r="F34" s="15" t="str">
        <x:v>Geriatric EMS; 33 individual rooms; interdisciplinary activities; hotel-style service; external hairdresser, podology and physiotherapy; spiritual activities; garden access</x:v>
      </x:c>
      <x:c r="G34" s="15" t="str">
        <x:v>Current operator places Les Laurelles in Territet-Montreux, not Vevey. Admissions are handled through the regional BRIO.</x:v>
      </x:c>
      <x:c r="H34" s="15" t="str">
        <x:v>https://www.balconsdulac.ch/nos-etablissements/ems-les-laurelles-residence-et-prestations-hotelieres-pour-personnes-agees-activites-et-soins</x:v>
      </x:c>
      <x:c r="I34" s="15" t="str">
        <x:v>Deep-enriched</x:v>
      </x:c>
      <x:c r="J34" s="15" t="str"/>
      <x:c r="K34" s="15" t="str">
        <x:v>https://www.balconsdulac.ch/contactez-nous-ems-cat-logements-proteges-pour-personnes-agees-et-dependantes</x:v>
      </x:c>
    </x:row>
    <x:row r="35">
      <x:c r="A35" s="15" t="str">
        <x:v>ems-palmiers</x:v>
      </x:c>
      <x:c r="B35" s="15" t="str">
        <x:v>EMS Les Palmiers</x:v>
      </x:c>
      <x:c r="C35" s="15" t="str">
        <x:v>Avenue du Casino 25, 1820 Montreux</x:v>
      </x:c>
      <x:c r="D35" s="15" t="str">
        <x:v>021 962 00 00</x:v>
      </x:c>
      <x:c r="E35" s="15" t="str">
        <x:v>info.palmiers@balconsdulac.ch</x:v>
      </x:c>
      <x:c r="F35" s="15" t="str">
        <x:v>Geriatric EMS; 38 spacious rooms, mostly individual, all with private sanitary facilities; some balconies; two terraces and cafeteria; activities; hotel services; nearby medical/wellbeing providers</x:v>
      </x:c>
      <x:c r="G35" s="15" t="str">
        <x:v>Current operator confirms Montreux, correcting the legacy Aigle location. Admissions are handled through the regional BRIO. Room count and bed capacity should remain separate concepts.</x:v>
      </x:c>
      <x:c r="H35" s="15" t="str">
        <x:v>https://www.balconsdulac.ch/nos-etablissements/ems-les-palmiers-residence-pour-personnes-agees-service-hotelier-activites-et-soins</x:v>
      </x:c>
      <x:c r="I35" s="15" t="str">
        <x:v>Deep-enriched</x:v>
      </x:c>
      <x:c r="J35" s="15" t="str"/>
      <x:c r="K35" s="15" t="str">
        <x:v>https://www.balconsdulac.ch/contactez-nous-ems-cat-logements-proteges-pour-personnes-agees-et-dependantes</x:v>
      </x:c>
    </x:row>
    <x:row r="36">
      <x:c r="A36" s="15" t="str">
        <x:v>senevita-vaud</x:v>
      </x:c>
      <x:c r="B36" s="15" t="str">
        <x:v>Senevita Casa Vaud</x:v>
      </x:c>
      <x:c r="C36" s="15" t="str">
        <x:v>Avenue des Baumettes 3, 1020 Renens</x:v>
      </x:c>
      <x:c r="D36" s="15" t="str">
        <x:v>021 311 19 20</x:v>
      </x:c>
      <x:c r="E36" s="15" t="str"/>
      <x:c r="F36" s="15" t="str">
        <x:v>Home nursing and basic care; daily-life assistance; household help; complex care; night watch; 24-hour assistance; support and respite for family caregivers</x:v>
      </x:c>
      <x:c r="G36" s="15" t="str">
        <x:v>Official Vaud site confirms a local Renens operation and insurer-recognized care. Team pages show regional nursing leads for Riviera, La Côte and Lausanne/west, but Lia should not infer exact municipality coverage beyond sourced areas.</x:v>
      </x:c>
      <x:c r="H36" s="15" t="str">
        <x:v>https://www.senevita.ch/fr/sites/spitex-vaud/</x:v>
      </x:c>
      <x:c r="I36" s="15" t="str">
        <x:v>Deep-enriched</x:v>
      </x:c>
      <x:c r="J36" s="15" t="str">
        <x:v>Private Spitex / home-care provider; services recognized by health insurers</x:v>
      </x:c>
      <x:c r="K36" s="15" t="str">
        <x:v>https://www.senevita.ch/fr/sites/spitex-vaud/equipe/</x:v>
      </x:c>
    </x:row>
    <x:row r="37">
      <x:c r="A37" s="15" t="str">
        <x:v>swisscaring</x:v>
      </x:c>
      <x:c r="B37" s="15" t="str">
        <x:v>Swisscaring SARL</x:v>
      </x:c>
      <x:c r="C37" s="15" t="str">
        <x:v>En Budron E7, 1052 Le Mont-sur-Lausanne</x:v>
      </x:c>
      <x:c r="D37" s="15" t="str">
        <x:v>021 651 09 10</x:v>
      </x:c>
      <x:c r="E37" s="15" t="str">
        <x:v>info@swisscaring.ch</x:v>
      </x:c>
      <x:c r="F37" s="15" t="str">
        <x:v>Basic care; nursing care; specialized psychiatric care; medical equipment; day and night guard; interventions 24/7</x:v>
      </x:c>
      <x:c r="G37" s="15" t="str">
        <x:v>Swisscaring states that its Vaud operation has authorization from the Vaud public-health authority and that its services are recognized by Swiss and international insurers.</x:v>
      </x:c>
      <x:c r="H37" s="15" t="str">
        <x:v>https://swisscaring.ch/</x:v>
      </x:c>
      <x:c r="I37" s="15" t="str">
        <x:v>Deep-enriched</x:v>
      </x:c>
      <x:c r="J37" s="15" t="str">
        <x:v>Private home-care provider with Vaud authorization; insurer-recognized</x:v>
      </x:c>
      <x:c r="K37" s="15" t="str">
        <x:v>https://swisscaring.ch/faire-une-demande-de-prise-de-soin/</x:v>
      </x:c>
    </x:row>
    <x:row r="38">
      <x:c r="A38" s="15" t="str">
        <x:v>boite-o</x:v>
      </x:c>
      <x:c r="B38" s="15" t="str">
        <x:v>La Boîte O Services</x:v>
      </x:c>
      <x:c r="C38" s="15" t="str">
        <x:v>Route des Vignerons 30, 1166 Perroy</x:v>
      </x:c>
      <x:c r="D38" s="15" t="str">
        <x:v>0800 00 44 33</x:v>
      </x:c>
      <x:c r="E38" s="15" t="str">
        <x:v>info@laboiteoservices.ch</x:v>
      </x:c>
      <x:c r="F38" s="15" t="str">
        <x:v>Nursing and basic care; help with daily living and household tasks; accompaniment; shopping and secretarial support; 24/7 home care</x:v>
      </x:c>
      <x:c r="G38" s="15" t="str">
        <x:v>Official provider says it is a private OSAD recognized by the Canton of Vaud public-health service and insurers. It publishes service activity across La Côte, Lausanne agglomeration, Riviera and Vallée de Joux, with regional contact locations.</x:v>
      </x:c>
      <x:c r="H38" s="15" t="str">
        <x:v>https://www.laboiteoservices.ch/</x:v>
      </x:c>
      <x:c r="I38" s="15" t="str">
        <x:v>Deep-enriched</x:v>
      </x:c>
      <x:c r="J38" s="15" t="str">
        <x:v>Private OSAD recognized by Canton of Vaud and health insurers</x:v>
      </x:c>
      <x:c r="K38" s="15" t="str">
        <x:v>https://www.laboiteoservices.ch/contact</x:v>
      </x:c>
    </x:row>
    <x:row r="39">
      <x:c r="A39" s="15" t="str">
        <x:v>dovida</x:v>
      </x:c>
      <x:c r="B39" s="15" t="str">
        <x:v>Dovida Lausanne</x:v>
      </x:c>
      <x:c r="C39" s="15" t="str">
        <x:v>Route de Prilly 23, 1023 Crissier</x:v>
      </x:c>
      <x:c r="D39" s="15" t="str">
        <x:v>021 614 00 50</x:v>
      </x:c>
      <x:c r="E39" s="15" t="str">
        <x:v>info.romandie@dovida.ch</x:v>
      </x:c>
      <x:c r="F39" s="15" t="str">
        <x:v>Non-medical home accompaniment; 24-hour accompaniment; household help; dementia support; post-hospital support; night watch; palliative accompaniment; basic care; respite for family caregivers</x:v>
      </x:c>
      <x:c r="G39" s="15" t="str">
        <x:v>Dovida's current Lausanne page confirms the local contact, services and a defined list of municipalities around Lausanne. The current RSRL member directory supplies the branch address. Keep the historical Home Instead record as a predecessor identity, not a separate provider.</x:v>
      </x:c>
      <x:c r="H39" s="15" t="str">
        <x:v>https://dovida.ch/fr/local-office/lausanne/</x:v>
      </x:c>
      <x:c r="I39" s="15" t="str">
        <x:v>Deep-enriched</x:v>
      </x:c>
      <x:c r="J39" s="15" t="str">
        <x:v>Private home-care / accompaniment provider; current regional directory classifies Dovida among associated care-network members</x:v>
      </x:c>
      <x:c r="K39" s="15" t="str">
        <x:v>https://www.reseau-sante-region-lausanne.ch/membres-associes/</x:v>
      </x:c>
    </x:row>
    <x:row r="40">
      <x:c r="A40" s="15" t="str">
        <x:v>sitex</x:v>
      </x:c>
      <x:c r="B40" s="15" t="str">
        <x:v>SITEX HAD MAD Vaud</x:v>
      </x:c>
      <x:c r="C40" s="15" t="str">
        <x:v>Vaud service operation; no separate Vaud street office verified on current provider pages</x:v>
      </x:c>
      <x:c r="D40" s="15" t="str">
        <x:v>0848 11 00 01</x:v>
      </x:c>
      <x:c r="E40" s="15" t="str">
        <x:v>info@sitexsa.ch</x:v>
      </x:c>
      <x:c r="F40" s="15" t="str">
        <x:v>Hospitalisation at home (HAD); home-maintenance care (MAD); palliative care; nutrition home care; respiratory care; hospital-at-home pharmacy; 24/7 Vaud service</x:v>
      </x:c>
      <x:c r="G40" s="15" t="str">
        <x:v>Current SITEX pages confirm a dedicated Vaud HAD/MAD operation and admissions line, but publish the company contact address in Plan-les-Ouates rather than a separate Vaud office. Lia must not fabricate a Lausanne office address.</x:v>
      </x:c>
      <x:c r="H40" s="15" t="str">
        <x:v>https://www.sitexsa.ch/nos-structures/</x:v>
      </x:c>
      <x:c r="I40" s="15" t="str">
        <x:v>Deep-enriched</x:v>
      </x:c>
      <x:c r="J40" s="15" t="str">
        <x:v>Private home-care/HAD provider; reimbursement and 24/7 service stated by provider</x:v>
      </x:c>
      <x:c r="K40" s="15" t="str">
        <x:v>https://www.sitexsa.ch/maintien-a-domicile/</x:v>
      </x:c>
    </x:row>
    <x:row r="41">
      <x:c r="A41" s="15" t="str">
        <x:v>alterum</x:v>
      </x:c>
      <x:c r="B41" s="15" t="str">
        <x:v>Alterum</x:v>
      </x:c>
      <x:c r="C41" s="15" t="str">
        <x:v>Avenue de Gilamont 50B, 1800 Vevey</x:v>
      </x:c>
      <x:c r="D41" s="15" t="str">
        <x:v>+41 21 923 50 00</x:v>
      </x:c>
      <x:c r="E41" s="15" t="str"/>
      <x:c r="F41" s="15" t="str">
        <x:v>Non-medical daily-life support: accompaniment; simple administration; shopping; cooking; household help; gardening; laundry; day/night presence; walks; EMS visits</x:v>
      </x:c>
      <x:c r="G41" s="15" t="str">
        <x:v>Alterum explicitly states that it does not provide nursing care and therefore does not require LAMal recognition. Its model uses local helpers aged 50+ and operates across French-speaking Switzerland.</x:v>
      </x:c>
      <x:c r="H41" s="15" t="str">
        <x:v>https://www.alterum.ch/prestations?canton=VD</x:v>
      </x:c>
      <x:c r="I41" s="15" t="str">
        <x:v>Deep-enriched</x:v>
      </x:c>
      <x:c r="J41" s="15" t="str">
        <x:v>Non-medical private home-support service; not a nursing/Spitex provider</x:v>
      </x:c>
      <x:c r="K41" s="15" t="str">
        <x:v>https://www.alterum.ch/faq</x:v>
      </x:c>
    </x:row>
    <x:row r="42">
      <x:c r="A42" s="15" t="str">
        <x:v>nova-via</x:v>
      </x:c>
      <x:c r="B42" s="15" t="str">
        <x:v>Nova Vita Montreux</x:v>
      </x:c>
      <x:c r="C42" s="15" t="str">
        <x:v>Place de la Paix, 1820 Montreux</x:v>
      </x:c>
      <x:c r="D42" s="15" t="str">
        <x:v>+41 21 965 90 90</x:v>
      </x:c>
      <x:c r="E42" s="15" t="str">
        <x:v>montreux@novavita.com</x:v>
      </x:c>
      <x:c r="F42" s="15" t="str">
        <x:v>Senior apartments (1–3 rooms, approx. 30–85 m²); emergency-call systems; base and optional services; bilingual environment; separate 12-place care unit with 24/7 support; short stays possible</x:v>
      </x:c>
      <x:c r="G42" s="15" t="str">
        <x:v>Current official site confirms the correct brand is Nova Vita (not 'Nova Via') and that the same operation combines independent senior apartments with a small medicalized care unit. The two offerings must be modeled separately under one operation.</x:v>
      </x:c>
      <x:c r="H42" s="15" t="str">
        <x:v>https://www.novavita.com/fr/nova-vita-montreux/</x:v>
      </x:c>
      <x:c r="I42" s="15" t="str">
        <x:v>Deep-enriched</x:v>
      </x:c>
      <x:c r="J42" s="15" t="str">
        <x:v>Private senior residence with a separate care unit; medical care unit billing rules stated by provider</x:v>
      </x:c>
      <x:c r="K42" s="15" t="str">
        <x:v>https://www.novavita.com/fr/nova-vita-contact/</x:v>
      </x:c>
    </x:row>
    <x:row r="43">
      <x:c r="A43" s="15" t="str">
        <x:v>gout-bonheur</x:v>
      </x:c>
      <x:c r="B43" s="15" t="str">
        <x:v>Résidence Le Goût du Bonheur</x:v>
      </x:c>
      <x:c r="C43" s="15" t="str">
        <x:v>Rue Château-Dessus 7, 1376 Goumoens-la-Ville</x:v>
      </x:c>
      <x:c r="D43" s="15" t="str">
        <x:v>+41 76 394 22 38</x:v>
      </x:c>
      <x:c r="E43" s="15" t="str">
        <x:v>info@legoutdubonheur.ch</x:v>
      </x:c>
      <x:c r="F43" s="15" t="str">
        <x:v>Adapted/protected senior apartments; social-reference support; village setting; designed as an alternative between ordinary home living and EMS entry</x:v>
      </x:c>
      <x:c r="G43" s="15" t="str">
        <x:v>Provider site currently says 6 adapted/protected apartments, while 2024 municipal minutes refer to 7. Keep this as a source conflict until confirmed directly. Fondation Les Châteaux provides the social-reference service.</x:v>
      </x:c>
      <x:c r="H43" s="15" t="str">
        <x:v>https://legoutdubonheur.ch/</x:v>
      </x:c>
      <x:c r="I43" s="15" t="str">
        <x:v>Deep-enriched — unit-count conflict flagged</x:v>
      </x:c>
      <x:c r="J43" s="15" t="str">
        <x:v>Senior housing / protected apartments; not an EMS</x:v>
      </x:c>
      <x:c r="K43" s="15" t="str">
        <x:v>https://www.leschateaux.ch/?page_id=7389</x:v>
      </x:c>
    </x:row>
    <x:row r="44">
      <x:c r="J44" s="12"/>
      <x:c r="K44" s="12"/>
    </x:row>
    <x:row r="45">
      <x:c r="J45" s="12"/>
      <x:c r="K45" s="12"/>
    </x:row>
    <x:row r="46">
      <x:c r="J46" s="12"/>
      <x:c r="K46" s="12"/>
    </x:row>
    <x:row r="47">
      <x:c r="J47" s="12"/>
      <x:c r="K47" s="12"/>
    </x:row>
    <x:row r="48">
      <x:c r="J48" s="12"/>
      <x:c r="K48" s="12"/>
    </x:row>
    <x:row r="49">
      <x:c r="J49" s="12"/>
      <x:c r="K49" s="12"/>
    </x:row>
    <x:row r="50">
      <x:c r="J50" s="12"/>
      <x:c r="K50" s="12"/>
    </x:row>
    <x:row r="51">
      <x:c r="J51" s="12"/>
      <x:c r="K51" s="12"/>
    </x:row>
    <x:row r="52">
      <x:c r="J52" s="12"/>
      <x:c r="K52" s="12"/>
    </x:row>
    <x:row r="53">
      <x:c r="J53" s="12"/>
      <x:c r="K53" s="12"/>
    </x:row>
    <x:row r="54">
      <x:c r="J54" s="12"/>
      <x:c r="K54" s="12"/>
    </x:row>
    <x:row r="55">
      <x:c r="J55" s="12"/>
      <x:c r="K55" s="12"/>
    </x:row>
    <x:row r="56">
      <x:c r="J56" s="12"/>
      <x:c r="K56" s="12"/>
    </x:row>
    <x:row r="57">
      <x:c r="J57" s="12"/>
      <x:c r="K57" s="12"/>
    </x:row>
    <x:row r="58">
      <x:c r="J58" s="12"/>
      <x:c r="K58" s="12"/>
    </x:row>
    <x:row r="59">
      <x:c r="J59" s="12"/>
      <x:c r="K59" s="12"/>
    </x:row>
    <x:row r="60">
      <x:c r="J60" s="12"/>
      <x:c r="K60" s="12"/>
    </x:row>
    <x:row r="61">
      <x:c r="J61" s="12"/>
      <x:c r="K61" s="12"/>
    </x:row>
    <x:row r="62">
      <x:c r="J62" s="12"/>
      <x:c r="K62" s="12"/>
    </x:row>
    <x:row r="63">
      <x:c r="J63" s="12"/>
      <x:c r="K63" s="12"/>
    </x:row>
    <x:row r="64">
      <x:c r="J64" s="12"/>
      <x:c r="K64" s="12"/>
    </x:row>
    <x:row r="65">
      <x:c r="J65" s="12"/>
      <x:c r="K65" s="12"/>
    </x:row>
    <x:row r="66">
      <x:c r="J66" s="12"/>
      <x:c r="K66" s="12"/>
    </x:row>
    <x:row r="67">
      <x:c r="J67" s="12"/>
      <x:c r="K67" s="12"/>
    </x:row>
    <x:row r="68">
      <x:c r="J68" s="12"/>
      <x:c r="K68" s="12"/>
    </x:row>
    <x:row r="69">
      <x:c r="J69" s="12"/>
      <x:c r="K69" s="12"/>
    </x:row>
    <x:row r="70">
      <x:c r="J70" s="12"/>
      <x:c r="K70" s="12"/>
    </x:row>
    <x:row r="71">
      <x:c r="J71" s="12"/>
      <x:c r="K71" s="12"/>
    </x:row>
    <x:row r="72">
      <x:c r="J72" s="12"/>
      <x:c r="K72" s="12"/>
    </x:row>
    <x:row r="73">
      <x:c r="J73" s="12"/>
      <x:c r="K73" s="12"/>
    </x:row>
    <x:row r="74">
      <x:c r="J74" s="12"/>
      <x:c r="K74" s="12"/>
    </x:row>
    <x:row r="75">
      <x:c r="J75" s="12"/>
      <x:c r="K75" s="12"/>
    </x:row>
    <x:row r="76">
      <x:c r="J76" s="12"/>
      <x:c r="K76" s="12"/>
    </x:row>
    <x:row r="77">
      <x:c r="J77" s="12"/>
      <x:c r="K77" s="12"/>
    </x:row>
    <x:row r="78">
      <x:c r="J78" s="12"/>
      <x:c r="K78" s="12"/>
    </x:row>
    <x:row r="79">
      <x:c r="J79" s="12"/>
      <x:c r="K79" s="12"/>
    </x:row>
    <x:row r="80">
      <x:c r="J80" s="12"/>
      <x:c r="K80" s="12"/>
    </x:row>
    <x:row r="81">
      <x:c r="J81" s="12"/>
      <x:c r="K81" s="12"/>
    </x:row>
    <x:row r="82">
      <x:c r="J82" s="12"/>
      <x:c r="K82" s="12"/>
    </x:row>
    <x:row r="83">
      <x:c r="J83" s="12"/>
      <x:c r="K83" s="12"/>
    </x:row>
    <x:row r="84">
      <x:c r="J84" s="12"/>
      <x:c r="K84" s="12"/>
    </x:row>
    <x:row r="85">
      <x:c r="J85" s="12"/>
      <x:c r="K85" s="12"/>
    </x:row>
    <x:row r="86">
      <x:c r="J86" s="12"/>
      <x:c r="K86" s="12"/>
    </x:row>
    <x:row r="87">
      <x:c r="J87" s="12"/>
      <x:c r="K87" s="12"/>
    </x:row>
    <x:row r="88">
      <x:c r="J88" s="12"/>
      <x:c r="K88" s="12"/>
    </x:row>
    <x:row r="89">
      <x:c r="J89" s="12"/>
      <x:c r="K89" s="12"/>
    </x:row>
    <x:row r="90">
      <x:c r="J90" s="12"/>
      <x:c r="K90" s="12"/>
    </x:row>
    <x:row r="91">
      <x:c r="J91" s="12"/>
      <x:c r="K91" s="12"/>
    </x:row>
    <x:row r="92">
      <x:c r="J92" s="12"/>
      <x:c r="K92" s="12"/>
    </x:row>
    <x:row r="93">
      <x:c r="J93" s="12"/>
      <x:c r="K93" s="12"/>
    </x:row>
    <x:row r="94">
      <x:c r="J94" s="12"/>
      <x:c r="K94" s="12"/>
    </x:row>
    <x:row r="95">
      <x:c r="J95" s="12"/>
      <x:c r="K95" s="12"/>
    </x:row>
    <x:row r="96">
      <x:c r="J96" s="12"/>
      <x:c r="K96" s="12"/>
    </x:row>
    <x:row r="97">
      <x:c r="J97" s="12"/>
      <x:c r="K97" s="12"/>
    </x:row>
    <x:row r="98">
      <x:c r="J98" s="12"/>
      <x:c r="K98" s="12"/>
    </x:row>
    <x:row r="99">
      <x:c r="J99" s="12"/>
      <x:c r="K99" s="12"/>
    </x:row>
    <x:row r="100">
      <x:c r="J100" s="12"/>
      <x:c r="K100" s="12"/>
    </x:row>
    <x:row r="101">
      <x:c r="J101" s="12"/>
      <x:c r="K101" s="12"/>
    </x:row>
    <x:row r="102">
      <x:c r="J102" s="12"/>
      <x:c r="K102" s="12"/>
    </x:row>
    <x:row r="103">
      <x:c r="J103" s="12"/>
      <x:c r="K103" s="12"/>
    </x:row>
    <x:row r="104">
      <x:c r="J104" s="12"/>
      <x:c r="K104" s="12"/>
    </x:row>
    <x:row r="105">
      <x:c r="J105" s="12"/>
      <x:c r="K105" s="12"/>
    </x:row>
    <x:row r="106">
      <x:c r="J106" s="12"/>
      <x:c r="K106" s="12"/>
    </x:row>
    <x:row r="107">
      <x:c r="J107" s="12"/>
      <x:c r="K107" s="12"/>
    </x:row>
    <x:row r="108">
      <x:c r="J108" s="12"/>
      <x:c r="K108" s="12"/>
    </x:row>
    <x:row r="109">
      <x:c r="J109" s="12"/>
      <x:c r="K109" s="12"/>
    </x:row>
    <x:row r="110">
      <x:c r="J110" s="12"/>
      <x:c r="K110" s="12"/>
    </x:row>
    <x:row r="111">
      <x:c r="J111" s="12"/>
      <x:c r="K111" s="12"/>
    </x:row>
    <x:row r="112">
      <x:c r="J112" s="12"/>
      <x:c r="K112" s="12"/>
    </x:row>
    <x:row r="113">
      <x:c r="J113" s="12"/>
      <x:c r="K113" s="12"/>
    </x:row>
    <x:row r="114">
      <x:c r="J114" s="12"/>
      <x:c r="K114" s="12"/>
    </x:row>
    <x:row r="115">
      <x:c r="J115" s="12"/>
      <x:c r="K115" s="12"/>
    </x:row>
    <x:row r="116">
      <x:c r="J116" s="12"/>
      <x:c r="K116" s="12"/>
    </x:row>
    <x:row r="117">
      <x:c r="J117" s="12"/>
      <x:c r="K117" s="12"/>
    </x:row>
    <x:row r="118">
      <x:c r="J118" s="12"/>
      <x:c r="K118" s="12"/>
    </x:row>
    <x:row r="119">
      <x:c r="J119" s="12"/>
      <x:c r="K119" s="12"/>
    </x:row>
    <x:row r="120">
      <x:c r="J120" s="12"/>
      <x:c r="K120" s="12"/>
    </x:row>
    <x:row r="121">
      <x:c r="J121" s="12"/>
      <x:c r="K121" s="12"/>
    </x:row>
    <x:row r="122">
      <x:c r="J122" s="12"/>
      <x:c r="K122" s="12"/>
    </x:row>
    <x:row r="123">
      <x:c r="J123" s="12"/>
      <x:c r="K123" s="12"/>
    </x:row>
    <x:row r="124">
      <x:c r="J124" s="12"/>
      <x:c r="K124" s="12"/>
    </x:row>
    <x:row r="125">
      <x:c r="J125" s="12"/>
      <x:c r="K125" s="12"/>
    </x:row>
    <x:row r="126">
      <x:c r="J126" s="12"/>
      <x:c r="K126" s="12"/>
    </x:row>
    <x:row r="127">
      <x:c r="J127" s="12"/>
      <x:c r="K127" s="12"/>
    </x:row>
    <x:row r="128">
      <x:c r="J128" s="12"/>
      <x:c r="K128" s="12"/>
    </x:row>
    <x:row r="129">
      <x:c r="J129" s="12"/>
      <x:c r="K129" s="12"/>
    </x:row>
    <x:row r="130">
      <x:c r="J130" s="12"/>
      <x:c r="K130" s="12"/>
    </x:row>
    <x:row r="131">
      <x:c r="J131" s="12"/>
      <x:c r="K131" s="12"/>
    </x:row>
    <x:row r="132">
      <x:c r="J132" s="12"/>
      <x:c r="K132" s="12"/>
    </x:row>
    <x:row r="133">
      <x:c r="J133" s="12"/>
      <x:c r="K133" s="12"/>
    </x:row>
    <x:row r="134">
      <x:c r="J134" s="12"/>
      <x:c r="K134" s="12"/>
    </x:row>
    <x:row r="135">
      <x:c r="J135" s="12"/>
      <x:c r="K135" s="12"/>
    </x:row>
    <x:row r="136">
      <x:c r="J136" s="12"/>
      <x:c r="K136" s="12"/>
    </x:row>
    <x:row r="137">
      <x:c r="J137" s="12"/>
      <x:c r="K137" s="12"/>
    </x:row>
    <x:row r="138">
      <x:c r="J138" s="12"/>
      <x:c r="K138" s="12"/>
    </x:row>
    <x:row r="139">
      <x:c r="J139" s="12"/>
      <x:c r="K139" s="12"/>
    </x:row>
    <x:row r="140">
      <x:c r="J140" s="12"/>
      <x:c r="K140" s="12"/>
    </x:row>
    <x:row r="141">
      <x:c r="J141" s="12"/>
      <x:c r="K141" s="12"/>
    </x:row>
    <x:row r="142">
      <x:c r="J142" s="12"/>
      <x:c r="K142" s="12"/>
    </x:row>
    <x:row r="143">
      <x:c r="J143" s="12"/>
      <x:c r="K143" s="12"/>
    </x:row>
    <x:row r="144">
      <x:c r="J144" s="12"/>
      <x:c r="K144" s="12"/>
    </x:row>
    <x:row r="145">
      <x:c r="J145" s="12"/>
      <x:c r="K145" s="12"/>
    </x:row>
    <x:row r="146">
      <x:c r="J146" s="12"/>
      <x:c r="K146" s="12"/>
    </x:row>
    <x:row r="147">
      <x:c r="J147" s="12"/>
      <x:c r="K147" s="12"/>
    </x:row>
    <x:row r="148">
      <x:c r="J148" s="12"/>
      <x:c r="K148" s="12"/>
    </x:row>
    <x:row r="149">
      <x:c r="J149" s="12"/>
      <x:c r="K149" s="12"/>
    </x:row>
    <x:row r="150">
      <x:c r="J150" s="12"/>
      <x:c r="K150" s="12"/>
    </x:row>
    <x:row r="151">
      <x:c r="J151" s="12"/>
      <x:c r="K151" s="12"/>
    </x:row>
    <x:row r="152">
      <x:c r="J152" s="12"/>
      <x:c r="K152" s="12"/>
    </x:row>
    <x:row r="153">
      <x:c r="J153" s="12"/>
      <x:c r="K153" s="12"/>
    </x:row>
    <x:row r="154">
      <x:c r="J154" s="12"/>
      <x:c r="K154" s="12"/>
    </x:row>
    <x:row r="155">
      <x:c r="J155" s="12"/>
      <x:c r="K155" s="12"/>
    </x:row>
    <x:row r="156">
      <x:c r="J156" s="12"/>
      <x:c r="K156" s="12"/>
    </x:row>
    <x:row r="157">
      <x:c r="J157" s="12"/>
      <x:c r="K157" s="12"/>
    </x:row>
    <x:row r="158">
      <x:c r="J158" s="12"/>
      <x:c r="K158" s="12"/>
    </x:row>
    <x:row r="159">
      <x:c r="J159" s="12"/>
      <x:c r="K159" s="12"/>
    </x:row>
    <x:row r="160">
      <x:c r="J160" s="12"/>
      <x:c r="K160" s="12"/>
    </x:row>
    <x:row r="161">
      <x:c r="J161" s="12"/>
      <x:c r="K161" s="12"/>
    </x:row>
    <x:row r="162">
      <x:c r="J162" s="12"/>
      <x:c r="K162" s="12"/>
    </x:row>
    <x:row r="163">
      <x:c r="J163" s="12"/>
      <x:c r="K163" s="12"/>
    </x:row>
    <x:row r="164">
      <x:c r="J164" s="12"/>
      <x:c r="K164" s="12"/>
    </x:row>
    <x:row r="165">
      <x:c r="J165" s="12"/>
      <x:c r="K165" s="12"/>
    </x:row>
    <x:row r="166">
      <x:c r="J166" s="12"/>
      <x:c r="K166" s="12"/>
    </x:row>
    <x:row r="167">
      <x:c r="J167" s="12"/>
      <x:c r="K167" s="12"/>
    </x:row>
    <x:row r="168">
      <x:c r="J168" s="12"/>
      <x:c r="K168" s="12"/>
    </x:row>
    <x:row r="169">
      <x:c r="J169" s="12"/>
      <x:c r="K169" s="12"/>
    </x:row>
    <x:row r="170">
      <x:c r="J170" s="12"/>
      <x:c r="K170" s="12"/>
    </x:row>
    <x:row r="171">
      <x:c r="J171" s="12"/>
      <x:c r="K171" s="12"/>
    </x:row>
    <x:row r="172">
      <x:c r="J172" s="12"/>
      <x:c r="K172" s="12"/>
    </x:row>
    <x:row r="173">
      <x:c r="J173" s="12"/>
      <x:c r="K173" s="12"/>
    </x:row>
    <x:row r="174">
      <x:c r="J174" s="12"/>
      <x:c r="K174" s="12"/>
    </x:row>
    <x:row r="175">
      <x:c r="J175" s="12"/>
      <x:c r="K175" s="12"/>
    </x:row>
    <x:row r="176">
      <x:c r="J176" s="12"/>
      <x:c r="K176" s="12"/>
    </x:row>
    <x:row r="177">
      <x:c r="J177" s="12"/>
      <x:c r="K177" s="12"/>
    </x:row>
    <x:row r="178">
      <x:c r="J178" s="12"/>
      <x:c r="K178" s="12"/>
    </x:row>
    <x:row r="179">
      <x:c r="J179" s="12"/>
      <x:c r="K179" s="12"/>
    </x:row>
    <x:row r="180">
      <x:c r="J180" s="12"/>
      <x:c r="K180" s="12"/>
    </x:row>
    <x:row r="181">
      <x:c r="J181" s="12"/>
      <x:c r="K181" s="12"/>
    </x:row>
    <x:row r="182">
      <x:c r="J182" s="12"/>
      <x:c r="K182" s="12"/>
    </x:row>
    <x:row r="183">
      <x:c r="J183" s="12"/>
      <x:c r="K183" s="12"/>
    </x:row>
    <x:row r="184">
      <x:c r="J184" s="12"/>
      <x:c r="K184" s="12"/>
    </x:row>
    <x:row r="185">
      <x:c r="J185" s="12"/>
      <x:c r="K185" s="12"/>
    </x:row>
    <x:row r="186">
      <x:c r="J186" s="12"/>
      <x:c r="K186" s="12"/>
    </x:row>
    <x:row r="187">
      <x:c r="J187" s="12"/>
      <x:c r="K187" s="12"/>
    </x:row>
    <x:row r="188">
      <x:c r="J188" s="12"/>
      <x:c r="K188" s="12"/>
    </x:row>
    <x:row r="189">
      <x:c r="J189" s="12"/>
      <x:c r="K189" s="12"/>
    </x:row>
    <x:row r="190">
      <x:c r="J190" s="12"/>
      <x:c r="K190" s="12"/>
    </x:row>
    <x:row r="191">
      <x:c r="J191" s="12"/>
      <x:c r="K191" s="12"/>
    </x:row>
    <x:row r="192">
      <x:c r="J192" s="12"/>
      <x:c r="K192" s="12"/>
    </x:row>
    <x:row r="193">
      <x:c r="J193" s="12"/>
      <x:c r="K193" s="12"/>
    </x:row>
    <x:row r="194">
      <x:c r="J194" s="12"/>
      <x:c r="K194" s="12"/>
    </x:row>
    <x:row r="195">
      <x:c r="J195" s="12"/>
      <x:c r="K195" s="12"/>
    </x:row>
    <x:row r="196">
      <x:c r="J196" s="12"/>
      <x:c r="K196" s="12"/>
    </x:row>
    <x:row r="197">
      <x:c r="J197" s="12"/>
      <x:c r="K197" s="12"/>
    </x:row>
    <x:row r="198">
      <x:c r="J198" s="12"/>
      <x:c r="K198" s="12"/>
    </x:row>
    <x:row r="199">
      <x:c r="J199" s="12"/>
      <x:c r="K199" s="12"/>
    </x:row>
    <x:row r="200">
      <x:c r="J200" s="12"/>
      <x:c r="K200" s="12"/>
    </x:row>
  </x:sheetData>
  <x:conditionalFormatting sqref="I2:I16">
    <x:cfRule type="expression" dxfId="7" priority="1">
      <x:formula>ISNUMBER(SEARCH("Partial",I2))</x:formula>
    </x:cfRule>
    <x:cfRule type="expression" dxfId="8" priority="2">
      <x:formula>ISNUMBER(SEARCH("confirm",I2))</x:formula>
    </x:cfRule>
    <x:cfRule type="expression" dxfId="9" priority="3">
      <x:formula>LEFT(I2,13)="Deep-enriched"</x:formula>
    </x:cfRule>
  </x:conditionalFormatting>
  <x:pageMargins left="0.7" right="0.7" top="0.75" bottom="0.75" header="0.3" footer="0.3"/>
  <x:tableParts count="1">
    <x:tablePart xmlns:r="http://schemas.openxmlformats.org/officeDocument/2006/relationships" r:id="R2387c352a59c4718"/>
  </x:tableParts>
</x:worksheet>
</file>

<file path=xl/worksheets/sheet5.xml><?xml version="1.0" encoding="utf-8"?>
<x:worksheet xmlns:x="http://schemas.openxmlformats.org/spreadsheetml/2006/main">
  <x:sheetFormatPr defaultRowHeight="15"/>
  <x:cols>
    <x:col min="1" max="1" width="22" hidden="0" customWidth="1"/>
    <x:col min="2" max="2" width="32" hidden="0" customWidth="1"/>
    <x:col min="3" max="3" width="12" hidden="0" customWidth="1"/>
    <x:col min="4" max="4" width="24" hidden="0" customWidth="1"/>
    <x:col min="5" max="5" width="38" hidden="0" customWidth="1"/>
    <x:col min="6" max="6" width="72" hidden="0" customWidth="1"/>
    <x:col min="7" max="7" width="52" hidden="0" customWidth="1"/>
    <x:col min="8" max="8" width="52" hidden="0" customWidth="1"/>
    <x:col min="9" max="9" width="14" hidden="0" customWidth="1"/>
    <x:col min="10" max="10" width="50" hidden="0" customWidth="1"/>
  </x:cols>
  <x:sheetData>
    <x:row r="1">
      <x:c r="A1" s="57" t="str">
        <x:v>Legacy ID</x:v>
      </x:c>
      <x:c r="B1" s="57" t="str">
        <x:v>Legacy name</x:v>
      </x:c>
      <x:c r="C1" s="57" t="str">
        <x:v>Legacy type</x:v>
      </x:c>
      <x:c r="D1" s="57" t="str">
        <x:v>Resolution</x:v>
      </x:c>
      <x:c r="E1" s="57" t="str">
        <x:v>Target structure / successor</x:v>
      </x:c>
      <x:c r="F1" s="57" t="str">
        <x:v>Current finding</x:v>
      </x:c>
      <x:c r="G1" s="57" t="str">
        <x:v>Primary source URL</x:v>
      </x:c>
      <x:c r="H1" s="57" t="str">
        <x:v>Secondary source URL</x:v>
      </x:c>
      <x:c r="I1" s="57" t="str">
        <x:v>Publish now?</x:v>
      </x:c>
      <x:c r="J1" s="57" t="str">
        <x:v>Next action</x:v>
      </x:c>
    </x:row>
    <x:row r="2">
      <x:c r="A2" s="15" t="str">
        <x:v>homeinstead</x:v>
      </x:c>
      <x:c r="B2" s="15" t="str">
        <x:v>HomeInstead Lausanne</x:v>
      </x:c>
      <x:c r="C2" s="15" t="str">
        <x:v>domicile</x:v>
      </x:c>
      <x:c r="D2" s="15" t="str">
        <x:v>Historical / merge</x:v>
      </x:c>
      <x:c r="E2" s="15" t="str">
        <x:v>Dovida Lausanne</x:v>
      </x:c>
      <x:c r="F2" s="15" t="str">
        <x:v>Dovida states that Home Instead Switzerland became Dovida in March 2025; this should not remain a separate competing provider.</x:v>
      </x:c>
      <x:c r="G2" s="15" t="str">
        <x:v>https://dovida.ch/fr/neuigkeiten/home-instead-wird-zu-dovida/</x:v>
      </x:c>
      <x:c r="H2" s="15" t="str">
        <x:v>https://dovida.ch/fr/local-office/lausanne/</x:v>
      </x:c>
      <x:c r="I2" s="15" t="str">
        <x:v>No</x:v>
      </x:c>
      <x:c r="J2" s="15" t="str">
        <x:v>Archive legacy brand and redirect/alias to Dovida after review.</x:v>
      </x:c>
    </x:row>
    <x:row r="3">
      <x:c r="A3" s="15" t="str">
        <x:v>pro-senectute</x:v>
      </x:c>
      <x:c r="B3" s="15" t="str">
        <x:v>Pro Senectute Vaud</x:v>
      </x:c>
      <x:c r="C3" s="15" t="str">
        <x:v>domicile</x:v>
      </x:c>
      <x:c r="D3" s="15" t="str">
        <x:v>Reclassify</x:v>
      </x:c>
      <x:c r="E3" s="15" t="str">
        <x:v>Senior social support / accompaniment</x:v>
      </x:c>
      <x:c r="F3" s="15" t="str">
        <x:v>Current home-visit service is companionship and social connection. Pro Senectute explicitly says volunteers do not provide household tasks, care, transport or administrative work.</x:v>
      </x:c>
      <x:c r="G3" s="15" t="str">
        <x:v>https://www.prosenectute.ch/pro-senectute-vd/fr/services/accompagnement/Visite-a-domicile.html</x:v>
      </x:c>
      <x:c r="H3" s="15" t="str">
        <x:v>https://www.prosenectute.ch/pro-senectute-vd/fr.html</x:v>
      </x:c>
      <x:c r="I3" s="15" t="str">
        <x:v>No as Spitex</x:v>
      </x:c>
      <x:c r="J3" s="15" t="str">
        <x:v>Keep as adjacent senior-support service only if Lia expands beyond care providers.</x:v>
      </x:c>
    </x:row>
    <x:row r="4">
      <x:c r="A4" s="15" t="str">
        <x:v>avasad-cms</x:v>
      </x:c>
      <x:c r="B4" s="15" t="str">
        <x:v>AVASAD – CMS Vaud</x:v>
      </x:c>
      <x:c r="C4" s="15" t="str">
        <x:v>domicile</x:v>
      </x:c>
      <x:c r="D4" s="15" t="str">
        <x:v>Split required</x:v>
      </x:c>
      <x:c r="E4" s="15" t="str">
        <x:v>Local CMS listings linked to AVASAD network</x:v>
      </x:c>
      <x:c r="F4" s="15" t="str">
        <x:v>The Canton page still says 49 CMS, while the current CMS Vaud/AVASAD site describes a network of 50 CMS. The exact live count is therefore a source discrepancy; either way, one generic 'CMS Vaud' page is the wrong consumer listing unit.</x:v>
      </x:c>
      <x:c r="G4" s="15" t="str">
        <x:v>https://www.vd.ch/sante-soins-et-handicap/vivre-a-domicile/aide-a-domicile</x:v>
      </x:c>
      <x:c r="H4" s="15" t="str">
        <x:v>https://www.cms-vaud.ch/organisation-du-dispositif/</x:v>
      </x:c>
      <x:c r="I4" s="15" t="str">
        <x:v>No</x:v>
      </x:c>
      <x:c r="J4" s="15" t="str">
        <x:v>Build one listing per current CMS and preserve AVASAD/regional-organization relationships.</x:v>
      </x:c>
    </x:row>
    <x:row r="5">
      <x:c r="A5" s="15" t="str">
        <x:v>vitadomo</x:v>
      </x:c>
      <x:c r="B5" s="15" t="str">
        <x:v>Vitadomo</x:v>
      </x:c>
      <x:c r="C5" s="15" t="str">
        <x:v>domicile</x:v>
      </x:c>
      <x:c r="D5" s="15" t="str">
        <x:v>Unresolved</x:v>
      </x:c>
      <x:c r="E5" s="15" t="str">
        <x:v>Unknown current provider</x:v>
      </x:c>
      <x:c r="F5" s="15" t="str">
        <x:v>No reliable current Vaud home-care operation matching the legacy identity has been established in the reviewed current sources.</x:v>
      </x:c>
      <x:c r="G5" s="15" t="str"/>
      <x:c r="H5" s="15" t="str"/>
      <x:c r="I5" s="15" t="str">
        <x:v>No</x:v>
      </x:c>
      <x:c r="J5" s="15" t="str">
        <x:v>Recover original source or verify via cantonal/private-OSAD lists before any publication.</x:v>
      </x:c>
    </x:row>
    <x:row r="6">
      <x:c r="A6" s="15" t="str">
        <x:v>senior-plus</x:v>
      </x:c>
      <x:c r="B6" s="15" t="str">
        <x:v>Senior+</x:v>
      </x:c>
      <x:c r="C6" s="15" t="str">
        <x:v>domicile</x:v>
      </x:c>
      <x:c r="D6" s="15" t="str">
        <x:v>Unresolved</x:v>
      </x:c>
      <x:c r="E6" s="15" t="str">
        <x:v>Unknown current provider</x:v>
      </x:c>
      <x:c r="F6" s="15" t="str">
        <x:v>No reliable current Nyon/Vaud home-care operation matching the legacy identity has been established in the reviewed current sources.</x:v>
      </x:c>
      <x:c r="G6" s="15" t="str"/>
      <x:c r="H6" s="15" t="str"/>
      <x:c r="I6" s="15" t="str">
        <x:v>No</x:v>
      </x:c>
      <x:c r="J6" s="15" t="str">
        <x:v>Recover original source or verify directly with local/cantonal sources.</x:v>
      </x:c>
    </x:row>
    <x:row r="7">
      <x:c r="A7" s="15" t="str">
        <x:v>aide-familiale-morges</x:v>
      </x:c>
      <x:c r="B7" s="15" t="str">
        <x:v>Aide Familiale Morges</x:v>
      </x:c>
      <x:c r="C7" s="15" t="str">
        <x:v>domicile</x:v>
      </x:c>
      <x:c r="D7" s="15" t="str">
        <x:v>Reclassify</x:v>
      </x:c>
      <x:c r="E7" s="15" t="str">
        <x:v>Service d'aide familiale de Morges et environs</x:v>
      </x:c>
      <x:c r="F7" s="15" t="str">
        <x:v>Current official site confirms a non-profit family/senior support association: hot-meal delivery, meeting centre and other community services across Morges plus 24 surrounding communes. It does not support the legacy implication of a nursing Spitex provider.</x:v>
      </x:c>
      <x:c r="G7" s="15" t="str">
        <x:v>https://www.safmorges.ch/</x:v>
      </x:c>
      <x:c r="H7" s="15" t="str">
        <x:v>https://www.safmorges.ch/contact</x:v>
      </x:c>
      <x:c r="I7" s="15" t="str">
        <x:v>No as nursing provider</x:v>
      </x:c>
      <x:c r="J7" s="15" t="str">
        <x:v>Keep as adjacent support service if in scope; remove unverified nursing/Spitex claim.</x:v>
      </x:c>
    </x:row>
    <x:row r="8">
      <x:c r="A8" s="15" t="str">
        <x:v>laurelles-residence</x:v>
      </x:c>
      <x:c r="B8" s="15" t="str">
        <x:v>Les Laurelles – Résidence</x:v>
      </x:c>
      <x:c r="C8" s="15" t="str">
        <x:v>residence</x:v>
      </x:c>
      <x:c r="D8" s="15" t="str">
        <x:v>Merge / duplicate</x:v>
      </x:c>
      <x:c r="E8" s="15" t="str">
        <x:v>EMS Les Laurelles</x:v>
      </x:c>
      <x:c r="F8" s="15" t="str">
        <x:v>Current Fondation Balcons du Lac presents Les Laurelles as one EMS at Avenue de Collonge 9. No separate current senior-residence entity has been established for the legacy duplicate.</x:v>
      </x:c>
      <x:c r="G8" s="15" t="str">
        <x:v>https://www.balconsdulac.ch/nos-etablissements/ems-les-laurelles-residence-et-prestations-hotelieres-pour-personnes-agees-activites-et-soins</x:v>
      </x:c>
      <x:c r="H8" s="15" t="str">
        <x:v>https://www.balconsdulac.ch/</x:v>
      </x:c>
      <x:c r="I8" s="15" t="str">
        <x:v>No</x:v>
      </x:c>
      <x:c r="J8" s="15" t="str">
        <x:v>Merge into the EMS Les Laurelles identity unless a separate current residence offering is proven.</x:v>
      </x:c>
    </x:row>
    <x:row r="9">
      <x:c r="A9" s="15" t="str">
        <x:v>alterimo</x:v>
      </x:c>
      <x:c r="B9" s="15" t="str">
        <x:v>Alterimo – Logements seniors</x:v>
      </x:c>
      <x:c r="C9" s="15" t="str">
        <x:v>residence</x:v>
      </x:c>
      <x:c r="D9" s="15" t="str">
        <x:v>Split required</x:v>
      </x:c>
      <x:c r="E9" s="15" t="str">
        <x:v>Individual LADA sites; Alterimo as manager/contact relationship</x:v>
      </x:c>
      <x:c r="F9" s="15" t="str">
        <x:v>Alterimo is a property manager/partner across multiple distinct LADA sites, not one residence. Current sources include Résidence Sirius and the Canton list shows many other separate sites using Alterimo/Althys.</x:v>
      </x:c>
      <x:c r="G9" s="15" t="str">
        <x:v>https://www.alterimo.ch/project/lausanne-sirius/</x:v>
      </x:c>
      <x:c r="H9" s="15" t="str">
        <x:v>https://www.vd.ch/fileadmin/user_upload/themes/social/Vivre_%C3%A0_domicile/Logements_prot%C3%A9g%C3%A9s/Rechercher/Liste_LADA.pdf</x:v>
      </x:c>
      <x:c r="I9" s="15" t="str">
        <x:v>No</x:v>
      </x:c>
      <x:c r="J9" s="15" t="str">
        <x:v>Create actual residence pages (e.g., Sirius, OASSIS, Résidence du Bois, etc.) with Alterimo stored as manager/contact where sourced.</x:v>
      </x:c>
    </x:row>
    <x:row r="10">
      <x:c r="A10" s="15" t="str">
        <x:v>netage</x:v>
      </x:c>
      <x:c r="B10" s="15" t="str">
        <x:v>Fondation NetAge</x:v>
      </x:c>
      <x:c r="C10" s="15" t="str">
        <x:v>residence</x:v>
      </x:c>
      <x:c r="D10" s="15" t="str">
        <x:v>Split required</x:v>
      </x:c>
      <x:c r="E10" s="15" t="str">
        <x:v>Les Maisons de Pra Roman + Les Plaines-du-Loup</x:v>
      </x:c>
      <x:c r="F10" s="15" t="str">
        <x:v>NetAge currently presents two distinct senior living sites. Pra Roman has 61 ECO-SENIORS apartments and a social-reference model; the foundation also lists Les Plaines-du-Loup as a separate residence.</x:v>
      </x:c>
      <x:c r="G10" s="15" t="str">
        <x:v>https://netage.ch/projets/les-maisons-de-pra-roman</x:v>
      </x:c>
      <x:c r="H10" s="15" t="str">
        <x:v>https://www.netage.ch/lieux-de-vie</x:v>
      </x:c>
      <x:c r="I10" s="15" t="str">
        <x:v>No</x:v>
      </x:c>
      <x:c r="J10" s="15" t="str">
        <x:v>Create site-level listings linked to Fondation NetAge; decide new stable IDs before import.</x:v>
      </x:c>
    </x:row>
    <x:row r="11">
      <x:c r="A11" s="15" t="str">
        <x:v>cerisiers-morges</x:v>
      </x:c>
      <x:c r="B11" s="15" t="str">
        <x:v>Résidence Les Cerisiers</x:v>
      </x:c>
      <x:c r="C11" s="15" t="str">
        <x:v>residence</x:v>
      </x:c>
      <x:c r="D11" s="15" t="str">
        <x:v>Unresolved</x:v>
      </x:c>
      <x:c r="E11" s="15" t="str">
        <x:v>Unknown Morges senior residence</x:v>
      </x:c>
      <x:c r="F11" s="15" t="str">
        <x:v>The July 2026 official LADA list does not show a Morges residence with this name. The current 'Les Cerisiers' result found online is an unrelated residential-development project in Corseaux.</x:v>
      </x:c>
      <x:c r="G11" s="15" t="str">
        <x:v>https://www.vd.ch/fileadmin/user_upload/themes/social/Vivre_%C3%A0_domicile/Logements_prot%C3%A9g%C3%A9s/Rechercher/Liste_LADA.pdf</x:v>
      </x:c>
      <x:c r="H11" s="15" t="str">
        <x:v>https://www.halter.ch/fr/projets/les-cerisiers</x:v>
      </x:c>
      <x:c r="I11" s="15" t="str">
        <x:v>No</x:v>
      </x:c>
      <x:c r="J11" s="15" t="str">
        <x:v>Recover the original source; do not map to another Morges LADA by guess.</x:v>
      </x:c>
    </x:row>
    <x:row r="12">
      <x:c r="A12" s="15" t="str">
        <x:v>village-senior-crissier</x:v>
      </x:c>
      <x:c r="B12" s="15" t="str">
        <x:v>Village Senior Crissier</x:v>
      </x:c>
      <x:c r="C12" s="15" t="str">
        <x:v>residence</x:v>
      </x:c>
      <x:c r="D12" s="15" t="str">
        <x:v>Unresolved / possible replacement</x:v>
      </x:c>
      <x:c r="E12" s="15" t="str">
        <x:v>Unknown; do not auto-map</x:v>
      </x:c>
      <x:c r="F12" s="15" t="str">
        <x:v>Current official Crissier LADA entries include Résidence du Léman and Résidence OASSIS (100 LADA), but no source currently ties the legacy 'Village Senior Crissier' identity to either one.</x:v>
      </x:c>
      <x:c r="G12" s="15" t="str">
        <x:v>https://www.vd.ch/fileadmin/user_upload/themes/social/Vivre_%C3%A0_domicile/Logements_prot%C3%A9g%C3%A9s/Rechercher/Liste_LADA.pdf</x:v>
      </x:c>
      <x:c r="H12" s="15" t="str"/>
      <x:c r="I12" s="15" t="str">
        <x:v>No</x:v>
      </x:c>
      <x:c r="J12" s="15" t="str">
        <x:v>Trace original legacy source before any merge or rename.</x:v>
      </x:c>
    </x:row>
    <x:row r="13">
      <x:c r="A13" s="15" t="str">
        <x:v>residence-lac-nyon</x:v>
      </x:c>
      <x:c r="B13" s="15" t="str">
        <x:v>Résidence du Lac – Nyon</x:v>
      </x:c>
      <x:c r="C13" s="15" t="str">
        <x:v>residence</x:v>
      </x:c>
      <x:c r="D13" s="15" t="str">
        <x:v>Unresolved</x:v>
      </x:c>
      <x:c r="E13" s="15" t="str">
        <x:v>Unknown Nyon residence</x:v>
      </x:c>
      <x:c r="F13" s="15" t="str">
        <x:v>The July 2026 official LADA list instead identifies Le Pré de l'Oie (45) and Résidence des Saules (40) in Nyon. The current web entity named 'Résidence du Lac' is in Lucelle, Jura and is unrelated.</x:v>
      </x:c>
      <x:c r="G13" s="15" t="str">
        <x:v>https://www.vd.ch/fileadmin/user_upload/themes/social/Vivre_%C3%A0_domicile/Logements_prot%C3%A9g%C3%A9s/Rechercher/Liste_LADA.pdf</x:v>
      </x:c>
      <x:c r="H13" s="15" t="str">
        <x:v>https://residencedulac.ch/contact/</x:v>
      </x:c>
      <x:c r="I13" s="15" t="str">
        <x:v>No</x:v>
      </x:c>
      <x:c r="J13" s="15" t="str">
        <x:v>Recover the original source; do not substitute a different Nyon residence.</x:v>
      </x:c>
    </x:row>
  </x:sheetData>
  <x:conditionalFormatting sqref="I2:I13">
    <x:cfRule type="expression" dxfId="10" priority="1">
      <x:formula>LEFT(I2,2)="No"</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32" hidden="0" customWidth="1"/>
    <x:col min="3" max="3" width="12" hidden="0" customWidth="1"/>
    <x:col min="4" max="4" width="32" hidden="0" customWidth="1"/>
    <x:col min="5" max="5" width="42" hidden="0" customWidth="1"/>
    <x:col min="6" max="6" width="30" hidden="0" customWidth="1"/>
    <x:col min="7" max="7" width="24" hidden="0" customWidth="1"/>
    <x:col min="8" max="8" width="72" hidden="0" customWidth="1"/>
    <x:col min="9" max="9" width="52" hidden="0" customWidth="1"/>
    <x:col min="10" max="10" width="52" hidden="0" customWidth="1"/>
    <x:col min="11" max="11" width="54" hidden="0" customWidth="1"/>
    <x:col min="12" max="12" width="50" hidden="0" customWidth="1"/>
  </x:cols>
  <x:sheetData>
    <x:row r="1">
      <x:c r="A1" s="66" t="str">
        <x:v>Proposed Lia ID</x:v>
      </x:c>
      <x:c r="B1" s="66" t="str">
        <x:v>Current listing</x:v>
      </x:c>
      <x:c r="C1" s="66" t="str">
        <x:v>Type</x:v>
      </x:c>
      <x:c r="D1" s="66" t="str">
        <x:v>Operator / relationship</x:v>
      </x:c>
      <x:c r="E1" s="66" t="str">
        <x:v>Verified address</x:v>
      </x:c>
      <x:c r="F1" s="66" t="str">
        <x:v>Phone / email</x:v>
      </x:c>
      <x:c r="G1" s="66" t="str">
        <x:v>Capacity / units</x:v>
      </x:c>
      <x:c r="H1" s="66" t="str">
        <x:v>Verified facts</x:v>
      </x:c>
      <x:c r="I1" s="66" t="str">
        <x:v>Primary source URL</x:v>
      </x:c>
      <x:c r="J1" s="66" t="str">
        <x:v>Secondary source URL</x:v>
      </x:c>
      <x:c r="K1" s="66" t="str">
        <x:v>Status / data issue</x:v>
      </x:c>
      <x:c r="L1" s="66" t="str">
        <x:v>Next action</x:v>
      </x:c>
    </x:row>
    <x:row r="2">
      <x:c r="A2" s="15" t="str">
        <x:v>ems-orme-bossons</x:v>
      </x:c>
      <x:c r="B2" s="15" t="str">
        <x:v>EMS des Bossons</x:v>
      </x:c>
      <x:c r="C2" s="15" t="str">
        <x:v>ems</x:v>
      </x:c>
      <x:c r="D2" s="15" t="str">
        <x:v>Fondation de l'Orme</x:v>
      </x:c>
      <x:c r="E2" s="15" t="str">
        <x:v>Chemin des Bossons 40, 1018 Lausanne</x:v>
      </x:c>
      <x:c r="F2" s="15" t="str">
        <x:v>021 641 62 00 · ems@fdorme.ch</x:v>
      </x:c>
      <x:c r="G2" s="15" t="str">
        <x:v>60 EMS places</x:v>
      </x:c>
      <x:c r="H2" s="15" t="str">
        <x:v>Current Fondation de l'Orme EMS site; individualized accompaniment inspired by Montessori; wellbeing spaces, relaxation lounges, hairdresser, laundry, gardens and socio-cultural activities.</x:v>
      </x:c>
      <x:c r="I2" s="15" t="str">
        <x:v>https://www.fondationdelorme.ch/presentation/</x:v>
      </x:c>
      <x:c r="J2" s="15" t="str">
        <x:v>https://www.vd.ch/fileadmin/user_upload/themes/sante_social/ems/soho/20260115_Liste_internet_SOHO_2026_provisoire.pdf</x:v>
      </x:c>
      <x:c r="K2" s="15" t="str">
        <x:v>New establishment created from split of generic legacy 'ems-orme'.</x:v>
      </x:c>
      <x:c r="L2" s="15" t="str">
        <x:v>Create new site-level record linked to Fondation de l'Orme; do not reuse generic legacy page as the final listing.</x:v>
      </x:c>
    </x:row>
    <x:row r="3">
      <x:c r="A3" s="15" t="str">
        <x:v>ems-orme-melodie</x:v>
      </x:c>
      <x:c r="B3" s="15" t="str">
        <x:v>EMS Mélodie / Plaines-du-Loup</x:v>
      </x:c>
      <x:c r="C3" s="15" t="str">
        <x:v>ems</x:v>
      </x:c>
      <x:c r="D3" s="15" t="str">
        <x:v>Fondation de l'Orme</x:v>
      </x:c>
      <x:c r="E3" s="15" t="str">
        <x:v>Route des Plaines-du-Loup 4A / 4B, 1018 Lausanne</x:v>
      </x:c>
      <x:c r="F3" s="15" t="str">
        <x:v>021 641 62 00 · ems@fdorme.ch</x:v>
      </x:c>
      <x:c r="G3" s="15" t="str">
        <x:v>30 EMS places</x:v>
      </x:c>
      <x:c r="H3" s="15" t="str">
        <x:v>Second current EMS of Fondation de l'Orme; same shared care philosophy and amenities described by the foundation.</x:v>
      </x:c>
      <x:c r="I3" s="15" t="str">
        <x:v>https://www.fondationdelorme.ch/presentation/</x:v>
      </x:c>
      <x:c r="J3" s="15" t="str">
        <x:v>https://www.fondationdelorme.ch/actualites-infos/</x:v>
      </x:c>
      <x:c r="K3" s="15" t="str">
        <x:v>Address conflict: Canton 2026 tariff file uses 4A, while the Foundation's current practical page says Maisonnée Mélodie remains at 4B.</x:v>
      </x:c>
      <x:c r="L3" s="15" t="str">
        <x:v>Keep unpublished until exact consumer-facing address is confirmed with the provider.</x:v>
      </x:c>
    </x:row>
    <x:row r="4">
      <x:c r="A4" s="15" t="str">
        <x:v>ems-tilleul</x:v>
      </x:c>
      <x:c r="B4" s="15" t="str">
        <x:v>EMS Le Tilleul</x:v>
      </x:c>
      <x:c r="C4" s="15" t="str">
        <x:v>ems</x:v>
      </x:c>
      <x:c r="D4" s="15" t="str">
        <x:v>Fondation Le Marronnier</x:v>
      </x:c>
      <x:c r="E4" s="15" t="str">
        <x:v>Chemin de la Cigale 27, 1010 Lausanne</x:v>
      </x:c>
      <x:c r="F4" s="15" t="str">
        <x:v>021 796 68 00</x:v>
      </x:c>
      <x:c r="G4" s="15" t="str">
        <x:v>60 long-stay beds</x:v>
      </x:c>
      <x:c r="H4" s="15" t="str">
        <x:v>Long-stay EMS opened in 2023; same nonprofit/public-interest foundation as EMS Le Marronnier.</x:v>
      </x:c>
      <x:c r="I4" s="15" t="str">
        <x:v>https://www.ems-lemarronnier.ch/fondation/</x:v>
      </x:c>
      <x:c r="J4" s="15" t="str">
        <x:v>https://www.ems-lemarronnier.ch/contact/</x:v>
      </x:c>
      <x:c r="K4" s="15" t="str">
        <x:v>Missing from the legacy 66 even though it is a current major Lausanne EMS.</x:v>
      </x:c>
      <x:c r="L4" s="15" t="str">
        <x:v>Add as a new establishment and link to Fondation Le Marronnier.</x:v>
      </x:c>
    </x:row>
    <x:row r="5">
      <x:c r="A5" s="15" t="str">
        <x:v>ems-haute-combe</x:v>
      </x:c>
      <x:c r="B5" s="15" t="str">
        <x:v>EMS Haute Combe</x:v>
      </x:c>
      <x:c r="C5" s="15" t="str">
        <x:v>ems</x:v>
      </x:c>
      <x:c r="D5" s="15" t="str">
        <x:v>Fondation Pré Pariset</x:v>
      </x:c>
      <x:c r="E5" s="15" t="str">
        <x:v>Chemin du Stand 3, 1009 Pully</x:v>
      </x:c>
      <x:c r="F5" s="15" t="str">
        <x:v>021 721 18 11 · pre-pariset@pre-pariset.ch</x:v>
      </x:c>
      <x:c r="G5" s="15" t="str">
        <x:v>8 short-stay rooms + 2 long-stay rooms</x:v>
      </x:c>
      <x:c r="H5" s="15" t="str">
        <x:v>Small EMS beside Pré Pariset; 10 rooms total, with 8 dedicated to short stay and 2 to long stay; shared lounge, dining room, veranda and terrace.</x:v>
      </x:c>
      <x:c r="I5" s="15" t="str">
        <x:v>https://www.pre-pariset.ch/etablissements/haute_combe</x:v>
      </x:c>
      <x:c r="J5" s="15" t="str">
        <x:v>https://www.pre-pariset.ch/</x:v>
      </x:c>
      <x:c r="K5" s="15" t="str">
        <x:v>Missing from the legacy 66; operator is a private institution recognized as being of public interest.</x:v>
      </x:c>
      <x:c r="L5" s="15" t="str">
        <x:v>Add as third EMS under Fondation Pré Pariset.</x:v>
      </x:c>
    </x:row>
    <x:row r="6">
      <x:c r="A6" s="15" t="str">
        <x:v>ems-blecherette</x:v>
      </x:c>
      <x:c r="B6" s="15" t="str">
        <x:v>EMS Blécherette</x:v>
      </x:c>
      <x:c r="C6" s="15" t="str">
        <x:v>ems</x:v>
      </x:c>
      <x:c r="D6" s="15" t="str">
        <x:v>Fondation Bois-Gentil</x:v>
      </x:c>
      <x:c r="E6" s="15" t="str">
        <x:v>Chemin des Bossons 42, CP 114, 1000 Lausanne 18</x:v>
      </x:c>
      <x:c r="F6" s="15" t="str">
        <x:v>021 512 33 00 · reception.blecherette@fbg.ch</x:v>
      </x:c>
      <x:c r="G6" s="15" t="str">
        <x:v>60 individual-room beds</x:v>
      </x:c>
      <x:c r="H6" s="15" t="str">
        <x:v>Opened June 2025; general geriatric mission; public restaurant Le Sorbier; private landscaped garden; BRIO-first admission pathway with pre-visits possible.</x:v>
      </x:c>
      <x:c r="I6" s="15" t="str">
        <x:v>https://www.fbg.ch/personne-agee/quest-ce-quun-ems/ems-blecherette/</x:v>
      </x:c>
      <x:c r="J6" s="15" t="str">
        <x:v>https://www.fbg.ch/personne-agee/quest-ce-quun-ems/</x:v>
      </x:c>
      <x:c r="K6" s="15" t="str">
        <x:v>New current EMS missing from the legacy 66. Shares one building with Fondation de l'Orme's Bossons EMS but is a separate operator and establishment.</x:v>
      </x:c>
      <x:c r="L6" s="15" t="str">
        <x:v>Add as a new establishment linked to Fondation Bois-Gentil.</x:v>
      </x:c>
    </x:row>
    <x:row r="7">
      <x:c r="A7" s="15" t="str">
        <x:v>residence-netage-pra-roman</x:v>
      </x:c>
      <x:c r="B7" s="15" t="str">
        <x:v>Les Maisons de Pra Roman</x:v>
      </x:c>
      <x:c r="C7" s="15" t="str">
        <x:v>residence</x:v>
      </x:c>
      <x:c r="D7" s="15" t="str">
        <x:v>Fondation NetAge</x:v>
      </x:c>
      <x:c r="E7" s="15" t="str">
        <x:v>Route du Jorat 190a, 1000 Lausanne 26</x:v>
      </x:c>
      <x:c r="F7" s="15" t="str">
        <x:v>077 495 46 65 · praroman@netage.ch</x:v>
      </x:c>
      <x:c r="G7" s="15" t="str">
        <x:v>61 senior apartments</x:v>
      </x:c>
      <x:c r="H7" s="15" t="str">
        <x:v>For autonomous people aged 55+; 2-, 3- and 4-room apartments; social referent several times per week; communal spaces, activities, adapted access and bathrooms; services-included rent model.</x:v>
      </x:c>
      <x:c r="I7" s="15" t="str">
        <x:v>https://netage.ch/projets/les-maisons-de-pra-roman</x:v>
      </x:c>
      <x:c r="J7" s="15" t="str">
        <x:v>https://netage.ch/</x:v>
      </x:c>
      <x:c r="K7" s="15" t="str">
        <x:v>Consumer-facing site should replace the generic 'Fondation NetAge' legacy residence page.</x:v>
      </x:c>
      <x:c r="L7" s="15" t="str">
        <x:v>Create site-level residence listing and keep Fondation NetAge as operator.</x:v>
      </x:c>
    </x:row>
    <x:row r="8">
      <x:c r="A8" s="15" t="str">
        <x:v>residence-orme-les-peupliers</x:v>
      </x:c>
      <x:c r="B8" s="15" t="str">
        <x:v>LADA Les Peupliers</x:v>
      </x:c>
      <x:c r="C8" s="15" t="str">
        <x:v>residence</x:v>
      </x:c>
      <x:c r="D8" s="15" t="str">
        <x:v>Fondation de l'Orme / Alterimo for applications</x:v>
      </x:c>
      <x:c r="E8" s="15" t="str">
        <x:v>Chemin Elisabeth Jeanne de Cerjat 8, 1018 Lausanne</x:v>
      </x:c>
      <x:c r="F8" s="15" t="str">
        <x:v>021 641 62 81 · sams@fondationdelorme.ch</x:v>
      </x:c>
      <x:c r="G8" s="15" t="str">
        <x:v>13 adapted 2-room apartments</x:v>
      </x:c>
      <x:c r="H8" s="15" t="str">
        <x:v>Adapted housing for seniors/people needing support; balconies and adapted bathrooms; daily weekday social-reference contact; emergency call possibility; shared community room/terrace; home-care organization available; nearby CAT and urgent-health services.</x:v>
      </x:c>
      <x:c r="I8" s="15" t="str">
        <x:v>https://www.fondationdelorme.ch/les-peupliers/</x:v>
      </x:c>
      <x:c r="J8" s="15" t="str">
        <x:v>https://www.vd.ch/actualites/actualite/news/i-inauguration-dun-immeuble-intergenerationnel-aux-plaines-du-loup</x:v>
      </x:c>
      <x:c r="K8" s="15" t="str">
        <x:v>Site-specific Foundation page says 13 apartments; a Canton announcement describes 27 adapted units across the broader intergenerational building. Do not merge building-wide capacity into this operator-specific listing.</x:v>
      </x:c>
      <x:c r="L8" s="15" t="str">
        <x:v>Add as a residence/LADA page with field-level provenance.</x:v>
      </x:c>
    </x:row>
    <x:row r="9">
      <x:c r="A9" s="15" t="str">
        <x:v>residence-orme-cite-borde</x:v>
      </x:c>
      <x:c r="B9" s="15" t="str">
        <x:v>LADA La Cité de la Borde</x:v>
      </x:c>
      <x:c r="C9" s="15" t="str">
        <x:v>residence</x:v>
      </x:c>
      <x:c r="D9" s="15" t="str">
        <x:v>Fondation de l'Orme / SCHL application process</x:v>
      </x:c>
      <x:c r="E9" s="15" t="str">
        <x:v>Lausanne — exact residential street address still to confirm</x:v>
      </x:c>
      <x:c r="F9" s="15" t="str">
        <x:v>021 641 62 00 · ems@fondationdelorme.ch</x:v>
      </x:c>
      <x:c r="G9" s="15" t="str">
        <x:v>14 adapted 2-room apartments</x:v>
      </x:c>
      <x:c r="H9" s="15" t="str">
        <x:v>Adapted housing with balconies and accessible sanitary facilities; emergency-call option; communal room and roof solarium; daily weekday social-reference visit; nearby CMS home care; intended for people needing a secure/supportive environment while maintaining autonomy.</x:v>
      </x:c>
      <x:c r="I9" s="15" t="str">
        <x:v>https://www.fondationdelorme.ch/la-cite-de-la-borde/</x:v>
      </x:c>
      <x:c r="J9" s="15" t="str">
        <x:v>https://www.fondationdelorme.ch/</x:v>
      </x:c>
      <x:c r="K9" s="15" t="str">
        <x:v>Foundation page gives administrative contact at Chemin des Bossons 40, not an unambiguous residential street address.</x:v>
      </x:c>
      <x:c r="L9" s="15" t="str">
        <x:v>Add only after exact residence address is confirmed; do not use the administrative address as the consumer location.</x:v>
      </x:c>
    </x:row>
  </x:sheetData>
  <x:conditionalFormatting sqref="K2:K9">
    <x:cfRule type="expression" dxfId="11" priority="1">
      <x:formula>ISNUMBER(SEARCH("conflict",K2))</x:formula>
    </x:cfRule>
    <x:cfRule type="expression" dxfId="12" priority="2">
      <x:formula>ISNUMBER(SEARCH("still to confirm",K2))</x:formula>
    </x:cfRule>
  </x:conditionalFormatting>
  <x:pageMargins left="0.7" right="0.7" top="0.75" bottom="0.75" header="0.3" footer="0.3"/>
</x:worksheet>
</file>