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844680d07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ae3edce2a64124"/>
    <x:sheet xmlns:r="http://schemas.openxmlformats.org/officeDocument/2006/relationships" name="CMS Universe" sheetId="2" r:id="R4c825a8cca474b8e"/>
    <x:sheet xmlns:r="http://schemas.openxmlformats.org/officeDocument/2006/relationships" name="Private OSAD Candidates" sheetId="3" r:id="R8a52cfdbc6664cc8"/>
    <x:sheet xmlns:r="http://schemas.openxmlformats.org/officeDocument/2006/relationships" name="Identity &amp; Status Issues" sheetId="4" r:id="Re5d6b53b6644440d"/>
    <x:sheet xmlns:r="http://schemas.openxmlformats.org/officeDocument/2006/relationships" name="Other OSAD Classes" sheetId="5" r:id="R42a13af25cfb47bc"/>
    <x:sheet xmlns:r="http://schemas.openxmlformats.org/officeDocument/2006/relationships" name="Source Notes" sheetId="6" r:id="R907ddb1ba4974065"/>
    <x:sheet xmlns:r="http://schemas.openxmlformats.org/officeDocument/2006/relationships" name="Official OSAD Raw" sheetId="7" r:id="R5a307af1304847d5"/>
    <x:sheet xmlns:r="http://schemas.openxmlformats.org/officeDocument/2006/relationships" name="Reconciled Private Universe" sheetId="8" r:id="R1125f6f0f1d04bed"/>
    <x:sheet xmlns:r="http://schemas.openxmlformats.org/officeDocument/2006/relationships" name="Phase 5F Queue" sheetId="9" r:id="R89ee715d96e3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B263B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0213D"/>
      <x:name val="Carlito"/>
    </x:font>
    <x:font>
      <x:b/>
      <x:sz val="15"/>
      <x:color rgb="FFFFFFFF"/>
      <x:name val="Carlito"/>
    </x:font>
    <x:font>
      <x:i/>
      <x:sz val="10"/>
      <x:color rgb="FF10213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0213D"/>
      </x:patternFill>
    </x:fill>
    <x:fill>
      <x:patternFill patternType="solid">
        <x:fgColor rgb="FFFFF3F5"/>
      </x:patternFill>
    </x:fill>
    <x:fill>
      <x:patternFill patternType="solid">
        <x:fgColor rgb="FFFF5F72"/>
      </x:patternFill>
    </x:fill>
    <x:fill>
      <x:patternFill patternType="solid">
        <x:fgColor rgb="FF10213D"/>
      </x:patternFill>
    </x:fill>
    <x:fill>
      <x:patternFill patternType="solid">
        <x:fgColor rgb="FFFFE8EC"/>
      </x:patternFill>
    </x:fill>
    <x:fill>
      <x:patternFill patternType="solid">
        <x:fgColor rgb="FF10213D"/>
      </x:patternFill>
    </x:fill>
    <x:fill>
      <x:patternFill patternType="solid">
        <x:fgColor rgb="FFFFF1F3"/>
      </x:patternFill>
    </x:fill>
    <x:fill>
      <x:patternFill patternType="solid">
        <x:fgColor rgb="FFFFFFFF"/>
      </x:patternFill>
    </x:fill>
    <x:fill>
      <x:patternFill patternType="solid">
        <x:fgColor rgb="FFFFE8E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ill>
        <x:patternFill>
          <x:bgColor rgb="FFE7F6EC"/>
        </x:patternFill>
      </x:fill>
    </x:dxf>
    <x:dxf>
      <x:fill>
        <x:patternFill>
          <x:bgColor rgb="FFFFF5CC"/>
        </x:patternFill>
      </x:fill>
    </x:dxf>
    <x:dxf>
      <x:fill>
        <x:patternFill>
          <x:bgColor rgb="FFFFF3F5"/>
        </x:patternFill>
      </x:fill>
    </x:dxf>
    <x:dxf>
      <x:fill>
        <x:patternFill>
          <x:bgColor rgb="FFFCE8E8"/>
        </x:patternFill>
      </x:fill>
    </x:dxf>
    <x:dxf>
      <x:font>
        <x:b/>
        <x:color rgb="FF1E6B3A"/>
      </x:font>
      <x:fill>
        <x:patternFill>
          <x:bgColor rgb="FFDFF3E4"/>
        </x:patternFill>
      </x:fill>
    </x:dxf>
    <x:dxf>
      <x:font>
        <x:b/>
        <x:color rgb="FF8A5A00"/>
      </x:font>
      <x:fill>
        <x:patternFill>
          <x:bgColor rgb="FFFFF1D6"/>
        </x:patternFill>
      </x:fill>
    </x:dxf>
    <x:dxf>
      <x:font>
        <x:b/>
        <x:color rgb="FFA32235"/>
      </x:font>
      <x:fill>
        <x:patternFill>
          <x:bgColor rgb="FFFFD9DE"/>
        </x:patternFill>
      </x:fill>
    </x:dxf>
    <x:dxf>
      <x:font>
        <x:b/>
        <x:color rgb="FF8A5A00"/>
      </x:font>
      <x:fill>
        <x:patternFill>
          <x:bgColor rgb="FFFFEB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71d1def9f4599" /><Relationship Type="http://schemas.openxmlformats.org/officeDocument/2006/relationships/theme" Target="/xl/theme/theme1.xml" Id="R3350b8d171584ba9" /><Relationship Type="http://schemas.openxmlformats.org/officeDocument/2006/relationships/sharedStrings" Target="/xl/sharedStrings.xml" Id="R728c9a09c55b4e97" /><Relationship Type="http://schemas.openxmlformats.org/officeDocument/2006/relationships/worksheet" Target="/xl/worksheets/sheet1.xml" Id="Rbaae3edce2a64124" /><Relationship Type="http://schemas.openxmlformats.org/officeDocument/2006/relationships/worksheet" Target="/xl/worksheets/sheet2.xml" Id="R4c825a8cca474b8e" /><Relationship Type="http://schemas.openxmlformats.org/officeDocument/2006/relationships/worksheet" Target="/xl/worksheets/sheet3.xml" Id="R8a52cfdbc6664cc8" /><Relationship Type="http://schemas.openxmlformats.org/officeDocument/2006/relationships/worksheet" Target="/xl/worksheets/sheet4.xml" Id="Re5d6b53b6644440d" /><Relationship Type="http://schemas.openxmlformats.org/officeDocument/2006/relationships/worksheet" Target="/xl/worksheets/sheet5.xml" Id="R42a13af25cfb47bc" /><Relationship Type="http://schemas.openxmlformats.org/officeDocument/2006/relationships/worksheet" Target="/xl/worksheets/sheet6.xml" Id="R907ddb1ba4974065" /><Relationship Type="http://schemas.openxmlformats.org/officeDocument/2006/relationships/worksheet" Target="/xl/worksheets/sheet7.xml" Id="R5a307af1304847d5" /><Relationship Type="http://schemas.openxmlformats.org/officeDocument/2006/relationships/worksheet" Target="/xl/worksheets/sheet8.xml" Id="R1125f6f0f1d04bed" /><Relationship Type="http://schemas.openxmlformats.org/officeDocument/2006/relationships/worksheet" Target="/xl/worksheets/sheet9.xml" Id="R89ee715d96e348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05b723eb5348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CMS count by regional organization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CMS</c:v>
          </c:tx>
          <c:cat>
            <c:strRef>
              <c:f>'Summary'!$F$5:$F$11</c:f>
              <c:strCache>
                <c:ptCount val="0"/>
              </c:strCache>
            </c:strRef>
          </c:cat>
          <c:val>
            <c:numRef>
              <c:f>'Summary'!$G$5:$G$11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05b723eb5348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MSUniverseTable" displayName="CMSUniverseTable" ref="A4:J54" headerRowCount="1" totalsRowCount="0" totalsRowShown="0">
  <x:tableColumns count="10">
    <x:tableColumn id="1" name="#"/>
    <x:tableColumn id="2" name="CMS public name"/>
    <x:tableColumn id="3" name="Regional organization"/>
    <x:tableColumn id="4" name="Class"/>
    <x:tableColumn id="5" name="Evidence basis"/>
    <x:tableColumn id="6" name="Confidence"/>
    <x:tableColumn id="7" name="Recommended action"/>
    <x:tableColumn id="8" name="Write status"/>
    <x:tableColumn id="9" name="Source URL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vateCandidatesTable" displayName="PrivateCandidatesTable" ref="A4:I37" headerRowCount="1" totalsRowCount="0" totalsRowShown="0">
  <x:tableColumns count="9">
    <x:tableColumn id="1" name="Public / canonical name"/>
    <x:tableColumn id="2" name="Current class"/>
    <x:tableColumn id="3" name="Provider profile"/>
    <x:tableColumn id="4" name="Evidence regions"/>
    <x:tableColumn id="5" name="Confidence"/>
    <x:tableColumn id="6" name="Recommended action"/>
    <x:tableColumn id="7" name="Existing Lia match"/>
    <x:tableColumn id="8" name="Primary source URL"/>
    <x:tableColumn id="9" name="Identity / scope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dentityIssuesTable" displayName="IdentityIssuesTable" ref="A4:F17" headerRowCount="1" totalsRowCount="0" totalsRowShown="0">
  <x:tableColumns count="6">
    <x:tableColumn id="1" name="Entity / issue"/>
    <x:tableColumn id="2" name="Issue type"/>
    <x:tableColumn id="3" name="What current research says"/>
    <x:tableColumn id="4" name="Recommended Lia treatment"/>
    <x:tableColumn id="5" name="Source 1"/>
    <x:tableColumn id="6" name="Source 2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therOSADTable" displayName="OtherOSADTable" ref="A4:F19" headerRowCount="1" totalsRowCount="0" totalsRowShown="0">
  <x:tableColumns count="6">
    <x:tableColumn id="1" name="Name"/>
    <x:tableColumn id="2" name="Known / suspected class"/>
    <x:tableColumn id="3" name="Profile"/>
    <x:tableColumn id="4" name="Evidence"/>
    <x:tableColumn id="5" name="Recommended treatment"/>
    <x:tableColumn id="6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d8e2ea522b4b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c527bd0c644b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2c74603d154b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5fdc0fec2b40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bd4e30c06b451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1" hidden="0" customWidth="1"/>
    <x:col min="3" max="3" width="58" hidden="0" customWidth="1"/>
    <x:col min="4" max="4" width="44" hidden="0" customWidth="1"/>
    <x:col min="6" max="6" width="22" hidden="0" customWidth="1"/>
    <x:col min="7" max="7" width="10" hidden="0" customWidth="1"/>
  </x:cols>
  <x:sheetData>
    <x:row r="1" ht="28" customHeight="1">
      <x:c r="A1" s="46" t="str">
        <x:v>Lia — Phase 5E Vaud Home-Care Universe — FINAL RECONCILIATION</x:v>
      </x:c>
      <x:c r="B1" s="46"/>
      <x:c r="C1" s="46"/>
      <x:c r="D1" s="46"/>
      <x:c r="E1" s="46"/>
      <x:c r="F1" s="46"/>
      <x:c r="G1" s="46"/>
      <x:c r="H1" s="4"/>
      <x:c r="I1" s="4"/>
      <x:c r="J1" s="4"/>
    </x:row>
    <x:row r="2" ht="24" customHeight="1">
      <x:c r="A2" s="49" t="str">
        <x:v>Research status 28 Sep 2026. Official Canton OSAD workbook reconciled. Research only: no repo/database writes.</x:v>
      </x:c>
      <x:c r="B2" s="49"/>
      <x:c r="C2" s="49"/>
      <x:c r="D2" s="49"/>
      <x:c r="E2" s="49"/>
      <x:c r="F2" s="49"/>
      <x:c r="G2" s="49"/>
      <x:c r="H2" s="10"/>
      <x:c r="I2" s="10"/>
      <x:c r="J2" s="10"/>
    </x:row>
    <x:row r="3">
      <x:c r="A3" s="50"/>
      <x:c r="B3" s="50"/>
      <x:c r="C3" s="50"/>
      <x:c r="D3" s="50"/>
      <x:c r="E3" s="50"/>
      <x:c r="F3" s="50"/>
      <x:c r="G3" s="50"/>
    </x:row>
    <x:row r="4" ht="28" customHeight="1">
      <x:c r="A4" s="31" t="str">
        <x:v>Metric</x:v>
      </x:c>
      <x:c r="B4" s="31" t="str">
        <x:v>Reconciled value</x:v>
      </x:c>
      <x:c r="C4" s="24"/>
      <x:c r="D4" s="24"/>
      <x:c r="E4" s="24"/>
      <x:c r="F4" s="31" t="str">
        <x:v>Regional organization</x:v>
      </x:c>
      <x:c r="G4" s="31" t="str">
        <x:v>CMS</x:v>
      </x:c>
      <x:c r="H4" s="24"/>
      <x:c r="I4" s="24"/>
      <x:c r="J4" s="24"/>
    </x:row>
    <x:row r="5">
      <x:c r="A5" s="24" t="str">
        <x:v>Public CMS operating listings</x:v>
      </x:c>
      <x:c r="B5" s="24" t="n">
        <x:v>50</x:v>
      </x:c>
      <x:c r="C5" s="24"/>
      <x:c r="D5" s="24"/>
      <x:c r="E5" s="24"/>
      <x:c r="F5" s="24" t="str">
        <x:v>FSL</x:v>
      </x:c>
      <x:c r="G5" s="24" t="n">
        <x:v>8</x:v>
      </x:c>
      <x:c r="H5" s="24"/>
      <x:c r="I5" s="24"/>
      <x:c r="J5" s="24"/>
    </x:row>
    <x:row r="6">
      <x:c r="A6" s="24" t="str">
        <x:v>Regional AVASAD organizations</x:v>
      </x:c>
      <x:c r="B6" s="24" t="n">
        <x:v>7</x:v>
      </x:c>
      <x:c r="C6" s="24"/>
      <x:c r="D6" s="24"/>
      <x:c r="E6" s="24"/>
      <x:c r="F6" s="24" t="str">
        <x:v>APROMAD</x:v>
      </x:c>
      <x:c r="G6" s="24" t="n">
        <x:v>8</x:v>
      </x:c>
      <x:c r="H6" s="24"/>
      <x:c r="I6" s="24"/>
      <x:c r="J6" s="24"/>
    </x:row>
    <x:row r="7">
      <x:c r="A7" s="24" t="str">
        <x:v>Official OSAD rows in uploaded Canton workbook</x:v>
      </x:c>
      <x:c r="B7" s="24" t="n">
        <x:v>30</x:v>
      </x:c>
      <x:c r="C7" s="24"/>
      <x:c r="D7" s="24"/>
      <x:c r="E7" s="24"/>
      <x:c r="F7" s="24" t="str">
        <x:v>APREMADOL</x:v>
      </x:c>
      <x:c r="G7" s="24" t="n">
        <x:v>4</x:v>
      </x:c>
      <x:c r="H7" s="24"/>
      <x:c r="I7" s="24"/>
      <x:c r="J7" s="24"/>
    </x:row>
    <x:row r="8">
      <x:c r="A8" s="24" t="str">
        <x:v>Current canonical medical/OSAD-type identities tracked</x:v>
      </x:c>
      <x:c r="B8" s="24" t="n">
        <x:v>37</x:v>
      </x:c>
      <x:c r="C8" s="24"/>
      <x:c r="D8" s="24"/>
      <x:c r="E8" s="24"/>
      <x:c r="F8" s="24" t="str">
        <x:v>ASANTE SANA</x:v>
      </x:c>
      <x:c r="G8" s="24" t="n">
        <x:v>10</x:v>
      </x:c>
      <x:c r="H8" s="24"/>
      <x:c r="I8" s="24"/>
      <x:c r="J8" s="24"/>
    </x:row>
    <x:row r="9">
      <x:c r="A9" s="24" t="str">
        <x:v>Additional non-medical home-support identity tracked</x:v>
      </x:c>
      <x:c r="B9" s="24" t="n">
        <x:v>1</x:v>
      </x:c>
      <x:c r="C9" s="24"/>
      <x:c r="D9" s="24"/>
      <x:c r="E9" s="24"/>
      <x:c r="F9" s="24" t="str">
        <x:v>ABSMAD</x:v>
      </x:c>
      <x:c r="G9" s="24" t="n">
        <x:v>3</x:v>
      </x:c>
      <x:c r="H9" s="24"/>
      <x:c r="I9" s="24"/>
      <x:c r="J9" s="24"/>
    </x:row>
    <x:row r="10">
      <x:c r="A10" s="24" t="str">
        <x:v>Broad reconciled private/direct-home-care universe</x:v>
      </x:c>
      <x:c r="B10" s="24" t="n">
        <x:v>38</x:v>
      </x:c>
      <x:c r="C10" s="24"/>
      <x:c r="D10" s="24"/>
      <x:c r="E10" s="24"/>
      <x:c r="F10" s="24" t="str">
        <x:v>FLC</x:v>
      </x:c>
      <x:c r="G10" s="24" t="n">
        <x:v>9</x:v>
      </x:c>
      <x:c r="H10" s="24"/>
      <x:c r="I10" s="24"/>
      <x:c r="J10" s="24"/>
    </x:row>
    <x:row r="11">
      <x:c r="A11" s="24" t="str">
        <x:v>Separate Type-2 / SSJN / institutional bucket</x:v>
      </x:c>
      <x:c r="B11" s="24" t="n">
        <x:v>15</x:v>
      </x:c>
      <x:c r="C11" s="24"/>
      <x:c r="D11" s="24"/>
      <x:c r="E11" s="24"/>
      <x:c r="F11" s="24" t="str">
        <x:v>ASPMAD</x:v>
      </x:c>
      <x:c r="G11" s="24" t="n">
        <x:v>8</x:v>
      </x:c>
      <x:c r="H11" s="24"/>
      <x:c r="I11" s="24"/>
      <x:c r="J11" s="24"/>
    </x:row>
    <x:row r="12" ht="28" customHeight="1">
      <x:c r="A12" s="51"/>
      <x:c r="B12" s="51"/>
      <x:c r="C12" s="51"/>
      <x:c r="D12" s="51"/>
      <x:c r="E12" s="50"/>
      <x:c r="F12" s="50"/>
      <x:c r="G12" s="50"/>
      <x:c r="H12" s="24"/>
      <x:c r="I12" s="24"/>
      <x:c r="J12" s="24"/>
    </x:row>
    <x:row r="13">
      <x:c r="A13" s="34" t="str">
        <x:v>Reconciliation result</x:v>
      </x:c>
      <x:c r="B13" s="34" t="str">
        <x:v>Decision</x:v>
      </x:c>
      <x:c r="C13" s="34" t="str">
        <x:v>Why it matters</x:v>
      </x:c>
      <x:c r="D13" s="34" t="str">
        <x:v>Source</x:v>
      </x:c>
      <x:c r="E13" s="24"/>
      <x:c r="F13" s="24"/>
      <x:c r="G13" s="24"/>
      <x:c r="H13" s="24"/>
      <x:c r="I13" s="24"/>
      <x:c r="J13" s="24"/>
    </x:row>
    <x:row r="14">
      <x:c r="A14" s="26" t="str">
        <x:v>Official authorization baseline</x:v>
      </x:c>
      <x:c r="B14" s="26" t="str">
        <x:v>30 named rows captured</x:v>
      </x:c>
      <x:c r="C14" s="26" t="str">
        <x:v>This is now integrated instead of inferred from regional directories.</x:v>
      </x:c>
      <x:c r="D14" s="26" t="str">
        <x:v>Uploaded Canton workbook — Etat du 02.03.2026</x:v>
      </x:c>
      <x:c r="E14" s="24"/>
      <x:c r="F14" s="24"/>
      <x:c r="G14" s="24"/>
      <x:c r="H14" s="24"/>
      <x:c r="I14" s="24"/>
      <x:c r="J14" s="24"/>
    </x:row>
    <x:row r="15">
      <x:c r="A15" s="26" t="str">
        <x:v>Official-list caveat</x:v>
      </x:c>
      <x:c r="B15" s="26" t="str">
        <x:v>Not exhaustive by design</x:v>
      </x:c>
      <x:c r="C15" s="26" t="str">
        <x:v>Its own note says some extra-cantonal and housing-specific authorized OSADs are omitted.</x:v>
      </x:c>
      <x:c r="D15" s="26" t="str">
        <x:v>Uploaded Canton workbook — final note</x:v>
      </x:c>
      <x:c r="E15" s="24"/>
      <x:c r="F15" s="24"/>
      <x:c r="G15" s="24"/>
      <x:c r="H15" s="24"/>
      <x:c r="I15" s="24"/>
      <x:c r="J15" s="24"/>
    </x:row>
    <x:row r="16">
      <x:c r="A16" s="26" t="str">
        <x:v>AMAD Lutry</x:v>
      </x:c>
      <x:c r="B16" s="26" t="str">
        <x:v>Canonical = AMAD Homecare SA</x:v>
      </x:c>
      <x:c r="C16" s="26" t="str">
        <x:v>Official workbook still says Sàrl; current legal form/name is SA.</x:v>
      </x:c>
      <x:c r="D16" s="26" t="str">
        <x:v>https://www.moneyhouse.ch/fr/company/amad-homecare-sa-17262944321</x:v>
      </x:c>
      <x:c r="E16" s="24"/>
      <x:c r="F16" s="24"/>
      <x:c r="G16" s="24"/>
      <x:c r="H16" s="24"/>
      <x:c r="I16" s="24"/>
      <x:c r="J16" s="24"/>
    </x:row>
    <x:row r="17">
      <x:c r="A17" s="26" t="str">
        <x:v>AMAD Nyon</x:v>
      </x:c>
      <x:c r="B17" s="26" t="str">
        <x:v>Canonical = AMAD Homecare La Côte SA</x:v>
      </x:c>
      <x:c r="C17" s="26" t="str">
        <x:v>Official workbook still says Qualis Vita La Côte SA, although it was renamed in Aug 2025.</x:v>
      </x:c>
      <x:c r="D17" s="26" t="str">
        <x:v>https://www.moneyhouse.ch/fr/company/amad-homecare-la-cote-sa-19445872001</x:v>
      </x:c>
      <x:c r="E17" s="24"/>
      <x:c r="F17" s="24"/>
      <x:c r="G17" s="24"/>
      <x:c r="H17" s="24"/>
      <x:c r="I17" s="24"/>
      <x:c r="J17" s="24"/>
    </x:row>
    <x:row r="18">
      <x:c r="A18" s="26" t="str">
        <x:v>Altoan</x:v>
      </x:c>
      <x:c r="B18" s="26" t="str">
        <x:v>Move out of OSAD bucket</x:v>
      </x:c>
      <x:c r="C18" s="26" t="str">
        <x:v>Its own site says it is strictly non-medical; still relevant to Lia as private accompaniment/support.</x:v>
      </x:c>
      <x:c r="D18" s="26" t="str">
        <x:v>https://altoan.com/contact</x:v>
      </x:c>
      <x:c r="E18" s="24"/>
      <x:c r="F18" s="24"/>
      <x:c r="G18" s="24"/>
      <x:c r="H18" s="24"/>
      <x:c r="I18" s="24"/>
      <x:c r="J18" s="24"/>
    </x:row>
    <x:row r="19">
      <x:c r="A19" s="26" t="str">
        <x:v>SoinVaud</x:v>
      </x:c>
      <x:c r="B19" s="26" t="str">
        <x:v>Legal identity resolved</x:v>
      </x:c>
      <x:c r="C19" s="26" t="str">
        <x:v>Current La Côte directory 'Soinsvaud' maps to active SoinVaud Sàrl at the same address.</x:v>
      </x:c>
      <x:c r="D19" s="26" t="str">
        <x:v>https://www.moneyhouse.ch/fr/company/soinvaud-sarl-20792789311</x:v>
      </x:c>
      <x:c r="E19" s="24"/>
      <x:c r="F19" s="24"/>
      <x:c r="G19" s="24"/>
      <x:c r="H19" s="24"/>
      <x:c r="I19" s="24"/>
      <x:c r="J19" s="24"/>
    </x:row>
    <x:row r="20">
      <x:c r="A20" s="26" t="str">
        <x:v>Extra regional providers</x:v>
      </x:c>
      <x:c r="B20" s="26" t="str">
        <x:v>Keep, but do not call them Canton-list matches</x:v>
      </x:c>
      <x:c r="C20" s="26" t="str">
        <x:v>Current health-network sources include providers absent from the 02.03 official table; several are extra-cantonal.</x:v>
      </x:c>
      <x:c r="D20" s="26" t="str">
        <x:v>https://reseau-sante-haut-leman.ch/centres-medico-sociaux-cms-et-organisations-de-soins-a-domicile-privees-osad/</x:v>
      </x:c>
      <x:c r="E20" s="24"/>
      <x:c r="F20" s="24"/>
      <x:c r="G20" s="24"/>
      <x:c r="H20" s="24"/>
      <x:c r="I20" s="24"/>
      <x:c r="J20" s="24"/>
    </x:row>
    <x:row r="21">
      <x:c r="A21" s="24" t="str">
        <x:v>Independent nurses</x:v>
      </x:c>
      <x:c r="B21" s="24" t="str">
        <x:v>Defer from V1</x:v>
      </x:c>
      <x:c r="C21" s="24" t="str">
        <x:v>Still hundreds of individual providers; institutional supply remains the priority.</x:v>
      </x:c>
      <x:c r="D21" s="24" t="str">
        <x:v>https://www.vd.ch/sante-soins-et-handicap/vivre-a-domicile/aide-a-domicile</x:v>
      </x:c>
      <x:c r="E21" s="24"/>
      <x:c r="F21" s="24"/>
      <x:c r="G21" s="24"/>
      <x:c r="H21" s="24"/>
      <x:c r="I21" s="24"/>
      <x:c r="J21" s="24"/>
    </x:row>
    <x:row r="22">
      <x:c r="A22" s="50"/>
      <x:c r="B22" s="50"/>
      <x:c r="C22" s="50"/>
      <x:c r="D22" s="50"/>
      <x:c r="E22" s="50"/>
      <x:c r="F22" s="50"/>
      <x:c r="G22" s="50"/>
      <x:c r="H22" s="24"/>
      <x:c r="I22" s="24"/>
      <x:c r="J22" s="24"/>
    </x:row>
    <x:row r="23" ht="32" customHeight="1">
      <x:c r="A23" s="52" t="str">
        <x:v>Phase 5E status</x:v>
      </x:c>
      <x:c r="B23" s="52" t="str">
        <x:v>COMPLETE enough to freeze</x:v>
      </x:c>
      <x:c r="C23" s="52" t="str">
        <x:v>We now have the public CMS universe, official OSAD baseline, current regional extras, and major identity corrections.</x:v>
      </x:c>
      <x:c r="D23" s="52" t="str">
        <x:v>This workbook</x:v>
      </x:c>
      <x:c r="E23" s="24"/>
      <x:c r="F23" s="24"/>
      <x:c r="G23" s="24"/>
      <x:c r="H23" s="24"/>
      <x:c r="I23" s="24"/>
      <x:c r="J23" s="24"/>
    </x:row>
    <x:row r="24">
      <x:c r="A24" s="24" t="str">
        <x:v>Next phase</x:v>
      </x:c>
      <x:c r="B24" s="24" t="str">
        <x:v>Phase 5F identity / structure resolution</x:v>
      </x:c>
      <x:c r="C24" s="24" t="str">
        <x:v>Resolve organization-vs-site issues, current authorization for regional-only rows, then create approved batch manifests.</x:v>
      </x:c>
      <x:c r="D24" s="24" t="str">
        <x:v>Project master handoff</x:v>
      </x:c>
      <x:c r="E24" s="24"/>
      <x:c r="F24" s="24"/>
      <x:c r="G24" s="24"/>
      <x:c r="H24" s="24"/>
      <x:c r="I24" s="24"/>
      <x:c r="J24" s="24"/>
    </x:row>
    <x:row r="25">
      <x:c r="A25" s="24" t="str">
        <x:v>Then</x:v>
      </x:c>
      <x:c r="B25" s="24" t="str">
        <x:v>Phase 5G enrichment at scale</x:v>
      </x:c>
      <x:c r="C25" s="24" t="str">
        <x:v>Use the proven Senevita pipeline after identities are approved.</x:v>
      </x:c>
      <x:c r="D25" s="24" t="str">
        <x:v>Project master handoff</x:v>
      </x:c>
      <x:c r="E25" s="24"/>
      <x:c r="F25" s="24"/>
      <x:c r="G25" s="24"/>
      <x:c r="H25" s="24"/>
      <x:c r="I25" s="24"/>
      <x:c r="J25" s="24"/>
    </x:row>
    <x:row r="26">
      <x:c r="A26" s="24" t="str">
        <x:v>Implementation rule</x:v>
      </x:c>
      <x:c r="B26" s="24" t="str">
        <x:v>No bulk DB creation from raw directories</x:v>
      </x:c>
      <x:c r="C26" s="24" t="str">
        <x:v>Every provider must have a canonical identity, evidence, class, and approved action first.</x:v>
      </x:c>
      <x:c r="D26" s="24" t="str">
        <x:v>Project master handoff</x:v>
      </x:c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45d8e2ea522b4b98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2" hidden="0" customWidth="1"/>
    <x:col min="3" max="3" width="34" hidden="0" customWidth="1"/>
    <x:col min="4" max="4" width="16" hidden="0" customWidth="1"/>
    <x:col min="5" max="5" width="24" hidden="0" customWidth="1"/>
    <x:col min="6" max="6" width="12" hidden="0" customWidth="1"/>
    <x:col min="7" max="7" width="30" hidden="0" customWidth="1"/>
    <x:col min="8" max="8" width="28" hidden="0" customWidth="1"/>
    <x:col min="9" max="9" width="48" hidden="0" customWidth="1"/>
    <x:col min="10" max="10" width="48" hidden="0" customWidth="1"/>
  </x:cols>
  <x:sheetData>
    <x:row r="1" ht="30" customHeight="1">
      <x:c r="A1" s="4" t="str">
        <x:v>Vaud Public CMS Universe — Current 50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Current patient-facing CMS names from the AVASAD/CMS network. Review before any DB creation.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8" customHeight="1">
      <x:c r="A4" s="18" t="str">
        <x:v>#</x:v>
      </x:c>
      <x:c r="B4" s="18" t="str">
        <x:v>CMS public name</x:v>
      </x:c>
      <x:c r="C4" s="18" t="str">
        <x:v>Regional organization</x:v>
      </x:c>
      <x:c r="D4" s="18" t="str">
        <x:v>Class</x:v>
      </x:c>
      <x:c r="E4" s="18" t="str">
        <x:v>Evidence basis</x:v>
      </x:c>
      <x:c r="F4" s="18" t="str">
        <x:v>Confidence</x:v>
      </x:c>
      <x:c r="G4" s="18" t="str">
        <x:v>Recommended action</x:v>
      </x:c>
      <x:c r="H4" s="18" t="str">
        <x:v>Write status</x:v>
      </x:c>
      <x:c r="I4" s="18" t="str">
        <x:v>Source URL</x:v>
      </x:c>
      <x:c r="J4" s="18" t="str">
        <x:v>Notes</x:v>
      </x:c>
    </x:row>
    <x:row r="5">
      <x:c r="A5" s="26" t="n">
        <x:v>1</x:v>
      </x:c>
      <x:c r="B5" s="26" t="str">
        <x:v>CMS Ancien-Stand</x:v>
      </x:c>
      <x:c r="C5" s="26" t="str">
        <x:v>FSL — Fondation Soins Lausanne</x:v>
      </x:c>
      <x:c r="D5" s="26" t="str">
        <x:v>Public CMS</x:v>
      </x:c>
      <x:c r="E5" s="26" t="str">
        <x:v>Current AVASAD/CMS network</x:v>
      </x:c>
      <x:c r="F5" s="26" t="str">
        <x:v>High</x:v>
      </x:c>
      <x:c r="G5" s="26" t="str">
        <x:v>Patient-facing CMS listing later</x:v>
      </x:c>
      <x:c r="H5" s="26" t="str">
        <x:v>Do not create row yet; review in Phase 5F</x:v>
      </x:c>
      <x:c r="I5" s="26" t="str">
        <x:v>https://www.cms-vaud.ch/fondationsoinslausanne/centres-medico-sociaux-2/</x:v>
      </x:c>
      <x:c r="J5" s="26" t="str">
        <x:v>Current 2026 FSL report states 8 CMS; the CMS page text still says 'seven' while listing 8.</x:v>
      </x:c>
    </x:row>
    <x:row r="6">
      <x:c r="A6" s="26" t="n">
        <x:v>2</x:v>
      </x:c>
      <x:c r="B6" s="26" t="str">
        <x:v>CMS Centre-Ville</x:v>
      </x:c>
      <x:c r="C6" s="26" t="str">
        <x:v>FSL — Fondation Soins Lausanne</x:v>
      </x:c>
      <x:c r="D6" s="26" t="str">
        <x:v>Public CMS</x:v>
      </x:c>
      <x:c r="E6" s="26" t="str">
        <x:v>Current AVASAD/CMS network</x:v>
      </x:c>
      <x:c r="F6" s="26" t="str">
        <x:v>High</x:v>
      </x:c>
      <x:c r="G6" s="26" t="str">
        <x:v>Patient-facing CMS listing later</x:v>
      </x:c>
      <x:c r="H6" s="26" t="str">
        <x:v>Do not create row yet; review in Phase 5F</x:v>
      </x:c>
      <x:c r="I6" s="26" t="str">
        <x:v>https://www.cms-vaud.ch/fondationsoinslausanne/centres-medico-sociaux-2/</x:v>
      </x:c>
      <x:c r="J6" s="26" t="str">
        <x:v>Current 2026 FSL report states 8 CMS; the CMS page text still says 'seven' while listing 8.</x:v>
      </x:c>
    </x:row>
    <x:row r="7">
      <x:c r="A7" s="26" t="n">
        <x:v>3</x:v>
      </x:c>
      <x:c r="B7" s="26" t="str">
        <x:v>CMS Chailly-Sallaz</x:v>
      </x:c>
      <x:c r="C7" s="26" t="str">
        <x:v>FSL — Fondation Soins Lausanne</x:v>
      </x:c>
      <x:c r="D7" s="26" t="str">
        <x:v>Public CMS</x:v>
      </x:c>
      <x:c r="E7" s="26" t="str">
        <x:v>Current AVASAD/CMS network</x:v>
      </x:c>
      <x:c r="F7" s="26" t="str">
        <x:v>High</x:v>
      </x:c>
      <x:c r="G7" s="26" t="str">
        <x:v>Patient-facing CMS listing later</x:v>
      </x:c>
      <x:c r="H7" s="26" t="str">
        <x:v>Do not create row yet; review in Phase 5F</x:v>
      </x:c>
      <x:c r="I7" s="26" t="str">
        <x:v>https://www.cms-vaud.ch/fondationsoinslausanne/centres-medico-sociaux-2/</x:v>
      </x:c>
      <x:c r="J7" s="26" t="str">
        <x:v>Current 2026 FSL report states 8 CMS; the CMS page text still says 'seven' while listing 8.</x:v>
      </x:c>
    </x:row>
    <x:row r="8">
      <x:c r="A8" s="26" t="n">
        <x:v>4</x:v>
      </x:c>
      <x:c r="B8" s="26" t="str">
        <x:v>CMS Montelly</x:v>
      </x:c>
      <x:c r="C8" s="26" t="str">
        <x:v>FSL — Fondation Soins Lausanne</x:v>
      </x:c>
      <x:c r="D8" s="26" t="str">
        <x:v>Public CMS</x:v>
      </x:c>
      <x:c r="E8" s="26" t="str">
        <x:v>Current AVASAD/CMS network</x:v>
      </x:c>
      <x:c r="F8" s="26" t="str">
        <x:v>High</x:v>
      </x:c>
      <x:c r="G8" s="26" t="str">
        <x:v>Patient-facing CMS listing later</x:v>
      </x:c>
      <x:c r="H8" s="26" t="str">
        <x:v>Do not create row yet; review in Phase 5F</x:v>
      </x:c>
      <x:c r="I8" s="26" t="str">
        <x:v>https://www.cms-vaud.ch/fondationsoinslausanne/centres-medico-sociaux-2/</x:v>
      </x:c>
      <x:c r="J8" s="26" t="str">
        <x:v>Current 2026 FSL report states 8 CMS; the CMS page text still says 'seven' while listing 8.</x:v>
      </x:c>
    </x:row>
    <x:row r="9">
      <x:c r="A9" s="26" t="n">
        <x:v>5</x:v>
      </x:c>
      <x:c r="B9" s="26" t="str">
        <x:v>CMS Ouchy</x:v>
      </x:c>
      <x:c r="C9" s="26" t="str">
        <x:v>FSL — Fondation Soins Lausanne</x:v>
      </x:c>
      <x:c r="D9" s="26" t="str">
        <x:v>Public CMS</x:v>
      </x:c>
      <x:c r="E9" s="26" t="str">
        <x:v>Current AVASAD/CMS network</x:v>
      </x:c>
      <x:c r="F9" s="26" t="str">
        <x:v>High</x:v>
      </x:c>
      <x:c r="G9" s="26" t="str">
        <x:v>Patient-facing CMS listing later</x:v>
      </x:c>
      <x:c r="H9" s="26" t="str">
        <x:v>Do not create row yet; review in Phase 5F</x:v>
      </x:c>
      <x:c r="I9" s="26" t="str">
        <x:v>https://www.cms-vaud.ch/fondationsoinslausanne/centres-medico-sociaux-2/</x:v>
      </x:c>
      <x:c r="J9" s="26" t="str">
        <x:v>Current 2026 FSL report states 8 CMS; the CMS page text still says 'seven' while listing 8.</x:v>
      </x:c>
    </x:row>
    <x:row r="10">
      <x:c r="A10" s="26" t="n">
        <x:v>6</x:v>
      </x:c>
      <x:c r="B10" s="26" t="str">
        <x:v>CMS des Peupliers</x:v>
      </x:c>
      <x:c r="C10" s="26" t="str">
        <x:v>FSL — Fondation Soins Lausanne</x:v>
      </x:c>
      <x:c r="D10" s="26" t="str">
        <x:v>Public CMS</x:v>
      </x:c>
      <x:c r="E10" s="26" t="str">
        <x:v>Current AVASAD/CMS network</x:v>
      </x:c>
      <x:c r="F10" s="26" t="str">
        <x:v>High</x:v>
      </x:c>
      <x:c r="G10" s="26" t="str">
        <x:v>Patient-facing CMS listing later</x:v>
      </x:c>
      <x:c r="H10" s="26" t="str">
        <x:v>Do not create row yet; review in Phase 5F</x:v>
      </x:c>
      <x:c r="I10" s="26" t="str">
        <x:v>https://www.cms-vaud.ch/fondationsoinslausanne/centres-medico-sociaux-2/</x:v>
      </x:c>
      <x:c r="J10" s="26" t="str">
        <x:v>Current 2026 FSL report states 8 CMS; the CMS page text still says 'seven' while listing 8.</x:v>
      </x:c>
    </x:row>
    <x:row r="11">
      <x:c r="A11" s="26" t="n">
        <x:v>7</x:v>
      </x:c>
      <x:c r="B11" s="26" t="str">
        <x:v>CMS Riponne</x:v>
      </x:c>
      <x:c r="C11" s="26" t="str">
        <x:v>FSL — Fondation Soins Lausanne</x:v>
      </x:c>
      <x:c r="D11" s="26" t="str">
        <x:v>Public CMS</x:v>
      </x:c>
      <x:c r="E11" s="26" t="str">
        <x:v>Current AVASAD/CMS network</x:v>
      </x:c>
      <x:c r="F11" s="26" t="str">
        <x:v>High</x:v>
      </x:c>
      <x:c r="G11" s="26" t="str">
        <x:v>Patient-facing CMS listing later</x:v>
      </x:c>
      <x:c r="H11" s="26" t="str">
        <x:v>Do not create row yet; review in Phase 5F</x:v>
      </x:c>
      <x:c r="I11" s="26" t="str">
        <x:v>https://www.cms-vaud.ch/fondationsoinslausanne/centres-medico-sociaux-2/</x:v>
      </x:c>
      <x:c r="J11" s="26" t="str">
        <x:v>Current 2026 FSL report states 8 CMS; the CMS page text still says 'seven' while listing 8.</x:v>
      </x:c>
    </x:row>
    <x:row r="12">
      <x:c r="A12" s="26" t="n">
        <x:v>8</x:v>
      </x:c>
      <x:c r="B12" s="26" t="str">
        <x:v>CMS Valency</x:v>
      </x:c>
      <x:c r="C12" s="26" t="str">
        <x:v>FSL — Fondation Soins Lausanne</x:v>
      </x:c>
      <x:c r="D12" s="26" t="str">
        <x:v>Public CMS</x:v>
      </x:c>
      <x:c r="E12" s="26" t="str">
        <x:v>Current AVASAD/CMS network</x:v>
      </x:c>
      <x:c r="F12" s="26" t="str">
        <x:v>High</x:v>
      </x:c>
      <x:c r="G12" s="26" t="str">
        <x:v>Patient-facing CMS listing later</x:v>
      </x:c>
      <x:c r="H12" s="26" t="str">
        <x:v>Do not create row yet; review in Phase 5F</x:v>
      </x:c>
      <x:c r="I12" s="26" t="str">
        <x:v>https://www.cms-vaud.ch/fondationsoinslausanne/centres-medico-sociaux-2/</x:v>
      </x:c>
      <x:c r="J12" s="26" t="str">
        <x:v>Current 2026 FSL report states 8 CMS; the CMS page text still says 'seven' while listing 8.</x:v>
      </x:c>
    </x:row>
    <x:row r="13">
      <x:c r="A13" s="26" t="n">
        <x:v>9</x:v>
      </x:c>
      <x:c r="B13" s="26" t="str">
        <x:v>CMS de Cully</x:v>
      </x:c>
      <x:c r="C13" s="26" t="str">
        <x:v>APROMAD — Couronne lausannoise</x:v>
      </x:c>
      <x:c r="D13" s="26" t="str">
        <x:v>Public CMS</x:v>
      </x:c>
      <x:c r="E13" s="26" t="str">
        <x:v>Current AVASAD/CMS network</x:v>
      </x:c>
      <x:c r="F13" s="26" t="str">
        <x:v>High</x:v>
      </x:c>
      <x:c r="G13" s="26" t="str">
        <x:v>Patient-facing CMS listing later</x:v>
      </x:c>
      <x:c r="H13" s="26" t="str">
        <x:v>Do not create row yet; review in Phase 5F</x:v>
      </x:c>
      <x:c r="I13" s="26" t="str">
        <x:v>https://www.cms-vaud.ch/apromad/centres-medico-sociaux-6/</x:v>
      </x:c>
      <x:c r="J13" s="26" t="str"/>
    </x:row>
    <x:row r="14">
      <x:c r="A14" s="26" t="n">
        <x:v>10</x:v>
      </x:c>
      <x:c r="B14" s="26" t="str">
        <x:v>CMS d’Echallens</x:v>
      </x:c>
      <x:c r="C14" s="26" t="str">
        <x:v>APROMAD — Couronne lausannoise</x:v>
      </x:c>
      <x:c r="D14" s="26" t="str">
        <x:v>Public CMS</x:v>
      </x:c>
      <x:c r="E14" s="26" t="str">
        <x:v>Current AVASAD/CMS network</x:v>
      </x:c>
      <x:c r="F14" s="26" t="str">
        <x:v>High</x:v>
      </x:c>
      <x:c r="G14" s="26" t="str">
        <x:v>Patient-facing CMS listing later</x:v>
      </x:c>
      <x:c r="H14" s="26" t="str">
        <x:v>Do not create row yet; review in Phase 5F</x:v>
      </x:c>
      <x:c r="I14" s="26" t="str">
        <x:v>https://www.cms-vaud.ch/apromad/centres-medico-sociaux-6/</x:v>
      </x:c>
      <x:c r="J14" s="26" t="str"/>
    </x:row>
    <x:row r="15">
      <x:c r="A15" s="26" t="n">
        <x:v>11</x:v>
      </x:c>
      <x:c r="B15" s="26" t="str">
        <x:v>CMS d’Epalinges</x:v>
      </x:c>
      <x:c r="C15" s="26" t="str">
        <x:v>APROMAD — Couronne lausannoise</x:v>
      </x:c>
      <x:c r="D15" s="26" t="str">
        <x:v>Public CMS</x:v>
      </x:c>
      <x:c r="E15" s="26" t="str">
        <x:v>Current AVASAD/CMS network</x:v>
      </x:c>
      <x:c r="F15" s="26" t="str">
        <x:v>High</x:v>
      </x:c>
      <x:c r="G15" s="26" t="str">
        <x:v>Patient-facing CMS listing later</x:v>
      </x:c>
      <x:c r="H15" s="26" t="str">
        <x:v>Do not create row yet; review in Phase 5F</x:v>
      </x:c>
      <x:c r="I15" s="26" t="str">
        <x:v>https://www.cms-vaud.ch/apromad/centres-medico-sociaux-6/</x:v>
      </x:c>
      <x:c r="J15" s="26" t="str"/>
    </x:row>
    <x:row r="16">
      <x:c r="A16" s="26" t="n">
        <x:v>12</x:v>
      </x:c>
      <x:c r="B16" s="26" t="str">
        <x:v>CMS du Mont</x:v>
      </x:c>
      <x:c r="C16" s="26" t="str">
        <x:v>APROMAD — Couronne lausannoise</x:v>
      </x:c>
      <x:c r="D16" s="26" t="str">
        <x:v>Public CMS</x:v>
      </x:c>
      <x:c r="E16" s="26" t="str">
        <x:v>Current AVASAD/CMS network</x:v>
      </x:c>
      <x:c r="F16" s="26" t="str">
        <x:v>High</x:v>
      </x:c>
      <x:c r="G16" s="26" t="str">
        <x:v>Patient-facing CMS listing later</x:v>
      </x:c>
      <x:c r="H16" s="26" t="str">
        <x:v>Do not create row yet; review in Phase 5F</x:v>
      </x:c>
      <x:c r="I16" s="26" t="str">
        <x:v>https://www.cms-vaud.ch/apromad/centres-medico-sociaux-6/</x:v>
      </x:c>
      <x:c r="J16" s="26" t="str"/>
    </x:row>
    <x:row r="17">
      <x:c r="A17" s="26" t="n">
        <x:v>13</x:v>
      </x:c>
      <x:c r="B17" s="26" t="str">
        <x:v>CMS d’Oron</x:v>
      </x:c>
      <x:c r="C17" s="26" t="str">
        <x:v>APROMAD — Couronne lausannoise</x:v>
      </x:c>
      <x:c r="D17" s="26" t="str">
        <x:v>Public CMS</x:v>
      </x:c>
      <x:c r="E17" s="26" t="str">
        <x:v>Current AVASAD/CMS network</x:v>
      </x:c>
      <x:c r="F17" s="26" t="str">
        <x:v>High</x:v>
      </x:c>
      <x:c r="G17" s="26" t="str">
        <x:v>Patient-facing CMS listing later</x:v>
      </x:c>
      <x:c r="H17" s="26" t="str">
        <x:v>Do not create row yet; review in Phase 5F</x:v>
      </x:c>
      <x:c r="I17" s="26" t="str">
        <x:v>https://www.cms-vaud.ch/apromad/centres-medico-sociaux-6/</x:v>
      </x:c>
      <x:c r="J17" s="26" t="str"/>
    </x:row>
    <x:row r="18">
      <x:c r="A18" s="26" t="n">
        <x:v>14</x:v>
      </x:c>
      <x:c r="B18" s="26" t="str">
        <x:v>CMS de Prilly Nord</x:v>
      </x:c>
      <x:c r="C18" s="26" t="str">
        <x:v>APROMAD — Couronne lausannoise</x:v>
      </x:c>
      <x:c r="D18" s="26" t="str">
        <x:v>Public CMS</x:v>
      </x:c>
      <x:c r="E18" s="26" t="str">
        <x:v>Current AVASAD/CMS network</x:v>
      </x:c>
      <x:c r="F18" s="26" t="str">
        <x:v>High</x:v>
      </x:c>
      <x:c r="G18" s="26" t="str">
        <x:v>Patient-facing CMS listing later</x:v>
      </x:c>
      <x:c r="H18" s="26" t="str">
        <x:v>Do not create row yet; review in Phase 5F</x:v>
      </x:c>
      <x:c r="I18" s="26" t="str">
        <x:v>https://www.cms-vaud.ch/apromad/centres-medico-sociaux-6/</x:v>
      </x:c>
      <x:c r="J18" s="26" t="str"/>
    </x:row>
    <x:row r="19">
      <x:c r="A19" s="26" t="n">
        <x:v>15</x:v>
      </x:c>
      <x:c r="B19" s="26" t="str">
        <x:v>CMS de Prilly Sud</x:v>
      </x:c>
      <x:c r="C19" s="26" t="str">
        <x:v>APROMAD — Couronne lausannoise</x:v>
      </x:c>
      <x:c r="D19" s="26" t="str">
        <x:v>Public CMS</x:v>
      </x:c>
      <x:c r="E19" s="26" t="str">
        <x:v>Current AVASAD/CMS network</x:v>
      </x:c>
      <x:c r="F19" s="26" t="str">
        <x:v>High</x:v>
      </x:c>
      <x:c r="G19" s="26" t="str">
        <x:v>Patient-facing CMS listing later</x:v>
      </x:c>
      <x:c r="H19" s="26" t="str">
        <x:v>Do not create row yet; review in Phase 5F</x:v>
      </x:c>
      <x:c r="I19" s="26" t="str">
        <x:v>https://www.cms-vaud.ch/apromad/centres-medico-sociaux-6/</x:v>
      </x:c>
      <x:c r="J19" s="26" t="str"/>
    </x:row>
    <x:row r="20">
      <x:c r="A20" s="26" t="n">
        <x:v>16</x:v>
      </x:c>
      <x:c r="B20" s="26" t="str">
        <x:v>CMS de Pully</x:v>
      </x:c>
      <x:c r="C20" s="26" t="str">
        <x:v>APROMAD — Couronne lausannoise</x:v>
      </x:c>
      <x:c r="D20" s="26" t="str">
        <x:v>Public CMS</x:v>
      </x:c>
      <x:c r="E20" s="26" t="str">
        <x:v>Current AVASAD/CMS network</x:v>
      </x:c>
      <x:c r="F20" s="26" t="str">
        <x:v>High</x:v>
      </x:c>
      <x:c r="G20" s="26" t="str">
        <x:v>Patient-facing CMS listing later</x:v>
      </x:c>
      <x:c r="H20" s="26" t="str">
        <x:v>Do not create row yet; review in Phase 5F</x:v>
      </x:c>
      <x:c r="I20" s="26" t="str">
        <x:v>https://www.cms-vaud.ch/apromad/centres-medico-sociaux-6/</x:v>
      </x:c>
      <x:c r="J20" s="26" t="str"/>
    </x:row>
    <x:row r="21">
      <x:c r="A21" s="26" t="n">
        <x:v>17</x:v>
      </x:c>
      <x:c r="B21" s="26" t="str">
        <x:v>CMS de Bussigny et Villars-Ste-Croix</x:v>
      </x:c>
      <x:c r="C21" s="26" t="str">
        <x:v>APREMADOL — Ouest lausannois</x:v>
      </x:c>
      <x:c r="D21" s="26" t="str">
        <x:v>Public CMS</x:v>
      </x:c>
      <x:c r="E21" s="26" t="str">
        <x:v>Current AVASAD/CMS network</x:v>
      </x:c>
      <x:c r="F21" s="26" t="str">
        <x:v>High</x:v>
      </x:c>
      <x:c r="G21" s="26" t="str">
        <x:v>Patient-facing CMS listing later</x:v>
      </x:c>
      <x:c r="H21" s="26" t="str">
        <x:v>Do not create row yet; review in Phase 5F</x:v>
      </x:c>
      <x:c r="I21" s="26" t="str">
        <x:v>https://www.cms-vaud.ch/apremadol/centres-medico-sociaux-4/</x:v>
      </x:c>
      <x:c r="J21" s="26" t="str"/>
    </x:row>
    <x:row r="22">
      <x:c r="A22" s="26" t="n">
        <x:v>18</x:v>
      </x:c>
      <x:c r="B22" s="26" t="str">
        <x:v>CMS d’Ecublens, Saint-Sulpice et Chavannes-près-Renens</x:v>
      </x:c>
      <x:c r="C22" s="26" t="str">
        <x:v>APREMADOL — Ouest lausannois</x:v>
      </x:c>
      <x:c r="D22" s="26" t="str">
        <x:v>Public CMS</x:v>
      </x:c>
      <x:c r="E22" s="26" t="str">
        <x:v>Current AVASAD/CMS network</x:v>
      </x:c>
      <x:c r="F22" s="26" t="str">
        <x:v>High</x:v>
      </x:c>
      <x:c r="G22" s="26" t="str">
        <x:v>Patient-facing CMS listing later</x:v>
      </x:c>
      <x:c r="H22" s="26" t="str">
        <x:v>Do not create row yet; review in Phase 5F</x:v>
      </x:c>
      <x:c r="I22" s="26" t="str">
        <x:v>https://www.cms-vaud.ch/apremadol/centres-medico-sociaux-4/</x:v>
      </x:c>
      <x:c r="J22" s="26" t="str"/>
    </x:row>
    <x:row r="23">
      <x:c r="A23" s="26" t="n">
        <x:v>19</x:v>
      </x:c>
      <x:c r="B23" s="26" t="str">
        <x:v>CMS de Renens Nord-Crissier</x:v>
      </x:c>
      <x:c r="C23" s="26" t="str">
        <x:v>APREMADOL — Ouest lausannois</x:v>
      </x:c>
      <x:c r="D23" s="26" t="str">
        <x:v>Public CMS</x:v>
      </x:c>
      <x:c r="E23" s="26" t="str">
        <x:v>Current AVASAD/CMS network</x:v>
      </x:c>
      <x:c r="F23" s="26" t="str">
        <x:v>High</x:v>
      </x:c>
      <x:c r="G23" s="26" t="str">
        <x:v>Patient-facing CMS listing later</x:v>
      </x:c>
      <x:c r="H23" s="26" t="str">
        <x:v>Do not create row yet; review in Phase 5F</x:v>
      </x:c>
      <x:c r="I23" s="26" t="str">
        <x:v>https://www.cms-vaud.ch/apremadol/centres-medico-sociaux-4/</x:v>
      </x:c>
      <x:c r="J23" s="26" t="str"/>
    </x:row>
    <x:row r="24">
      <x:c r="A24" s="26" t="n">
        <x:v>20</x:v>
      </x:c>
      <x:c r="B24" s="26" t="str">
        <x:v>CMS Renens Sud</x:v>
      </x:c>
      <x:c r="C24" s="26" t="str">
        <x:v>APREMADOL — Ouest lausannois</x:v>
      </x:c>
      <x:c r="D24" s="26" t="str">
        <x:v>Public CMS</x:v>
      </x:c>
      <x:c r="E24" s="26" t="str">
        <x:v>Current AVASAD/CMS network</x:v>
      </x:c>
      <x:c r="F24" s="26" t="str">
        <x:v>High</x:v>
      </x:c>
      <x:c r="G24" s="26" t="str">
        <x:v>Patient-facing CMS listing later</x:v>
      </x:c>
      <x:c r="H24" s="26" t="str">
        <x:v>Do not create row yet; review in Phase 5F</x:v>
      </x:c>
      <x:c r="I24" s="26" t="str">
        <x:v>https://www.cms-vaud.ch/apremadol/centres-medico-sociaux-4/</x:v>
      </x:c>
      <x:c r="J24" s="26" t="str"/>
    </x:row>
    <x:row r="25">
      <x:c r="A25" s="26" t="n">
        <x:v>21</x:v>
      </x:c>
      <x:c r="B25" s="26" t="str">
        <x:v>CMS Chaussy</x:v>
      </x:c>
      <x:c r="C25" s="26" t="str">
        <x:v>ASANTE SANA — Est vaudois</x:v>
      </x:c>
      <x:c r="D25" s="26" t="str">
        <x:v>Public CMS</x:v>
      </x:c>
      <x:c r="E25" s="26" t="str">
        <x:v>Current AVASAD/CMS network</x:v>
      </x:c>
      <x:c r="F25" s="26" t="str">
        <x:v>High</x:v>
      </x:c>
      <x:c r="G25" s="26" t="str">
        <x:v>Patient-facing CMS listing later</x:v>
      </x:c>
      <x:c r="H25" s="26" t="str">
        <x:v>Do not create row yet; review in Phase 5F</x:v>
      </x:c>
      <x:c r="I25" s="26" t="str">
        <x:v>https://www.cms-vaud.ch/asantesana/centres-medico-sociaux-3/</x:v>
      </x:c>
      <x:c r="J25" s="26" t="str"/>
    </x:row>
    <x:row r="26">
      <x:c r="A26" s="26" t="n">
        <x:v>22</x:v>
      </x:c>
      <x:c r="B26" s="26" t="str">
        <x:v>CMS Clarens</x:v>
      </x:c>
      <x:c r="C26" s="26" t="str">
        <x:v>ASANTE SANA — Est vaudois</x:v>
      </x:c>
      <x:c r="D26" s="26" t="str">
        <x:v>Public CMS</x:v>
      </x:c>
      <x:c r="E26" s="26" t="str">
        <x:v>Current AVASAD/CMS network</x:v>
      </x:c>
      <x:c r="F26" s="26" t="str">
        <x:v>High</x:v>
      </x:c>
      <x:c r="G26" s="26" t="str">
        <x:v>Patient-facing CMS listing later</x:v>
      </x:c>
      <x:c r="H26" s="26" t="str">
        <x:v>Do not create row yet; review in Phase 5F</x:v>
      </x:c>
      <x:c r="I26" s="26" t="str">
        <x:v>https://www.cms-vaud.ch/asantesana/centres-medico-sociaux-3/</x:v>
      </x:c>
      <x:c r="J26" s="26" t="str"/>
    </x:row>
    <x:row r="27">
      <x:c r="A27" s="26" t="n">
        <x:v>23</x:v>
      </x:c>
      <x:c r="B27" s="26" t="str">
        <x:v>CMS de la Grande-Eau</x:v>
      </x:c>
      <x:c r="C27" s="26" t="str">
        <x:v>ASANTE SANA — Est vaudois</x:v>
      </x:c>
      <x:c r="D27" s="26" t="str">
        <x:v>Public CMS</x:v>
      </x:c>
      <x:c r="E27" s="26" t="str">
        <x:v>Current AVASAD/CMS network</x:v>
      </x:c>
      <x:c r="F27" s="26" t="str">
        <x:v>High</x:v>
      </x:c>
      <x:c r="G27" s="26" t="str">
        <x:v>Patient-facing CMS listing later</x:v>
      </x:c>
      <x:c r="H27" s="26" t="str">
        <x:v>Do not create row yet; review in Phase 5F</x:v>
      </x:c>
      <x:c r="I27" s="26" t="str">
        <x:v>https://www.cms-vaud.ch/asantesana/centres-medico-sociaux-3/</x:v>
      </x:c>
      <x:c r="J27" s="26" t="str"/>
    </x:row>
    <x:row r="28">
      <x:c r="A28" s="26" t="n">
        <x:v>24</x:v>
      </x:c>
      <x:c r="B28" s="26" t="str">
        <x:v>CMS de la Gryonne</x:v>
      </x:c>
      <x:c r="C28" s="26" t="str">
        <x:v>ASANTE SANA — Est vaudois</x:v>
      </x:c>
      <x:c r="D28" s="26" t="str">
        <x:v>Public CMS</x:v>
      </x:c>
      <x:c r="E28" s="26" t="str">
        <x:v>Current AVASAD/CMS network</x:v>
      </x:c>
      <x:c r="F28" s="26" t="str">
        <x:v>High</x:v>
      </x:c>
      <x:c r="G28" s="26" t="str">
        <x:v>Patient-facing CMS listing later</x:v>
      </x:c>
      <x:c r="H28" s="26" t="str">
        <x:v>Do not create row yet; review in Phase 5F</x:v>
      </x:c>
      <x:c r="I28" s="26" t="str">
        <x:v>https://www.cms-vaud.ch/asantesana/centres-medico-sociaux-3/</x:v>
      </x:c>
      <x:c r="J28" s="26" t="str"/>
    </x:row>
    <x:row r="29">
      <x:c r="A29" s="26" t="n">
        <x:v>25</x:v>
      </x:c>
      <x:c r="B29" s="26" t="str">
        <x:v>CMS La Tour-de-Peilz</x:v>
      </x:c>
      <x:c r="C29" s="26" t="str">
        <x:v>ASANTE SANA — Est vaudois</x:v>
      </x:c>
      <x:c r="D29" s="26" t="str">
        <x:v>Public CMS</x:v>
      </x:c>
      <x:c r="E29" s="26" t="str">
        <x:v>Current AVASAD/CMS network</x:v>
      </x:c>
      <x:c r="F29" s="26" t="str">
        <x:v>High</x:v>
      </x:c>
      <x:c r="G29" s="26" t="str">
        <x:v>Patient-facing CMS listing later</x:v>
      </x:c>
      <x:c r="H29" s="26" t="str">
        <x:v>Do not create row yet; review in Phase 5F</x:v>
      </x:c>
      <x:c r="I29" s="26" t="str">
        <x:v>https://www.cms-vaud.ch/asantesana/centres-medico-sociaux-3/</x:v>
      </x:c>
      <x:c r="J29" s="26" t="str"/>
    </x:row>
    <x:row r="30">
      <x:c r="A30" s="26" t="n">
        <x:v>26</x:v>
      </x:c>
      <x:c r="B30" s="26" t="str">
        <x:v>CMS Montreux</x:v>
      </x:c>
      <x:c r="C30" s="26" t="str">
        <x:v>ASANTE SANA — Est vaudois</x:v>
      </x:c>
      <x:c r="D30" s="26" t="str">
        <x:v>Public CMS</x:v>
      </x:c>
      <x:c r="E30" s="26" t="str">
        <x:v>Current AVASAD/CMS network</x:v>
      </x:c>
      <x:c r="F30" s="26" t="str">
        <x:v>High</x:v>
      </x:c>
      <x:c r="G30" s="26" t="str">
        <x:v>Patient-facing CMS listing later</x:v>
      </x:c>
      <x:c r="H30" s="26" t="str">
        <x:v>Do not create row yet; review in Phase 5F</x:v>
      </x:c>
      <x:c r="I30" s="26" t="str">
        <x:v>https://www.cms-vaud.ch/asantesana/centres-medico-sociaux-3/</x:v>
      </x:c>
      <x:c r="J30" s="26" t="str"/>
    </x:row>
    <x:row r="31">
      <x:c r="A31" s="26" t="n">
        <x:v>27</x:v>
      </x:c>
      <x:c r="B31" s="26" t="str">
        <x:v>CMS Rennaz</x:v>
      </x:c>
      <x:c r="C31" s="26" t="str">
        <x:v>ASANTE SANA — Est vaudois</x:v>
      </x:c>
      <x:c r="D31" s="26" t="str">
        <x:v>Public CMS</x:v>
      </x:c>
      <x:c r="E31" s="26" t="str">
        <x:v>Current AVASAD/CMS network</x:v>
      </x:c>
      <x:c r="F31" s="26" t="str">
        <x:v>High</x:v>
      </x:c>
      <x:c r="G31" s="26" t="str">
        <x:v>Patient-facing CMS listing later</x:v>
      </x:c>
      <x:c r="H31" s="26" t="str">
        <x:v>Do not create row yet; review in Phase 5F</x:v>
      </x:c>
      <x:c r="I31" s="26" t="str">
        <x:v>https://www.cms-vaud.ch/asantesana/centres-medico-sociaux-3/</x:v>
      </x:c>
      <x:c r="J31" s="26" t="str"/>
    </x:row>
    <x:row r="32">
      <x:c r="A32" s="26" t="n">
        <x:v>28</x:v>
      </x:c>
      <x:c r="B32" s="26" t="str">
        <x:v>CMS Vevey Est</x:v>
      </x:c>
      <x:c r="C32" s="26" t="str">
        <x:v>ASANTE SANA — Est vaudois</x:v>
      </x:c>
      <x:c r="D32" s="26" t="str">
        <x:v>Public CMS</x:v>
      </x:c>
      <x:c r="E32" s="26" t="str">
        <x:v>Current AVASAD/CMS network</x:v>
      </x:c>
      <x:c r="F32" s="26" t="str">
        <x:v>High</x:v>
      </x:c>
      <x:c r="G32" s="26" t="str">
        <x:v>Patient-facing CMS listing later</x:v>
      </x:c>
      <x:c r="H32" s="26" t="str">
        <x:v>Do not create row yet; review in Phase 5F</x:v>
      </x:c>
      <x:c r="I32" s="26" t="str">
        <x:v>https://www.cms-vaud.ch/asantesana/centres-medico-sociaux-3/</x:v>
      </x:c>
      <x:c r="J32" s="26" t="str"/>
    </x:row>
    <x:row r="33">
      <x:c r="A33" s="26" t="n">
        <x:v>29</x:v>
      </x:c>
      <x:c r="B33" s="26" t="str">
        <x:v>CMS Vevey Ouest</x:v>
      </x:c>
      <x:c r="C33" s="26" t="str">
        <x:v>ASANTE SANA — Est vaudois</x:v>
      </x:c>
      <x:c r="D33" s="26" t="str">
        <x:v>Public CMS</x:v>
      </x:c>
      <x:c r="E33" s="26" t="str">
        <x:v>Current AVASAD/CMS network</x:v>
      </x:c>
      <x:c r="F33" s="26" t="str">
        <x:v>High</x:v>
      </x:c>
      <x:c r="G33" s="26" t="str">
        <x:v>Patient-facing CMS listing later</x:v>
      </x:c>
      <x:c r="H33" s="26" t="str">
        <x:v>Do not create row yet; review in Phase 5F</x:v>
      </x:c>
      <x:c r="I33" s="26" t="str">
        <x:v>https://www.cms-vaud.ch/asantesana/centres-medico-sociaux-3/</x:v>
      </x:c>
      <x:c r="J33" s="26" t="str"/>
    </x:row>
    <x:row r="34">
      <x:c r="A34" s="26" t="n">
        <x:v>30</x:v>
      </x:c>
      <x:c r="B34" s="26" t="str">
        <x:v>CMS Pays-d’Enhaut</x:v>
      </x:c>
      <x:c r="C34" s="26" t="str">
        <x:v>ASANTE SANA — Est vaudois</x:v>
      </x:c>
      <x:c r="D34" s="26" t="str">
        <x:v>Public CMS</x:v>
      </x:c>
      <x:c r="E34" s="26" t="str">
        <x:v>Current AVASAD/CMS network</x:v>
      </x:c>
      <x:c r="F34" s="26" t="str">
        <x:v>High</x:v>
      </x:c>
      <x:c r="G34" s="26" t="str">
        <x:v>Patient-facing CMS listing later</x:v>
      </x:c>
      <x:c r="H34" s="26" t="str">
        <x:v>Do not create row yet; review in Phase 5F</x:v>
      </x:c>
      <x:c r="I34" s="26" t="str">
        <x:v>https://www.cms-vaud.ch/asantesana/centres-medico-sociaux-3/</x:v>
      </x:c>
      <x:c r="J34" s="26" t="str">
        <x:v>Operated on delegation to Pôle Santé Pays-d’Enhaut.</x:v>
      </x:c>
    </x:row>
    <x:row r="35">
      <x:c r="A35" s="26" t="n">
        <x:v>31</x:v>
      </x:c>
      <x:c r="B35" s="26" t="str">
        <x:v>CMS Avenches</x:v>
      </x:c>
      <x:c r="C35" s="26" t="str">
        <x:v>ABSMAD — Broye</x:v>
      </x:c>
      <x:c r="D35" s="26" t="str">
        <x:v>Public CMS</x:v>
      </x:c>
      <x:c r="E35" s="26" t="str">
        <x:v>Current AVASAD/CMS network</x:v>
      </x:c>
      <x:c r="F35" s="26" t="str">
        <x:v>High</x:v>
      </x:c>
      <x:c r="G35" s="26" t="str">
        <x:v>Patient-facing CMS listing later</x:v>
      </x:c>
      <x:c r="H35" s="26" t="str">
        <x:v>Do not create row yet; review in Phase 5F</x:v>
      </x:c>
      <x:c r="I35" s="26" t="str">
        <x:v>https://www.cms-vaud.ch/absmad/centres-medico-sociaux/</x:v>
      </x:c>
      <x:c r="J35" s="26" t="str"/>
    </x:row>
    <x:row r="36">
      <x:c r="A36" s="26" t="n">
        <x:v>32</x:v>
      </x:c>
      <x:c r="B36" s="26" t="str">
        <x:v>CMS Moudon</x:v>
      </x:c>
      <x:c r="C36" s="26" t="str">
        <x:v>ABSMAD — Broye</x:v>
      </x:c>
      <x:c r="D36" s="26" t="str">
        <x:v>Public CMS</x:v>
      </x:c>
      <x:c r="E36" s="26" t="str">
        <x:v>Current AVASAD/CMS network</x:v>
      </x:c>
      <x:c r="F36" s="26" t="str">
        <x:v>High</x:v>
      </x:c>
      <x:c r="G36" s="26" t="str">
        <x:v>Patient-facing CMS listing later</x:v>
      </x:c>
      <x:c r="H36" s="26" t="str">
        <x:v>Do not create row yet; review in Phase 5F</x:v>
      </x:c>
      <x:c r="I36" s="26" t="str">
        <x:v>https://www.cms-vaud.ch/absmad/centres-medico-sociaux/</x:v>
      </x:c>
      <x:c r="J36" s="26" t="str"/>
    </x:row>
    <x:row r="37">
      <x:c r="A37" s="26" t="n">
        <x:v>33</x:v>
      </x:c>
      <x:c r="B37" s="26" t="str">
        <x:v>CMS Payerne</x:v>
      </x:c>
      <x:c r="C37" s="26" t="str">
        <x:v>ABSMAD — Broye</x:v>
      </x:c>
      <x:c r="D37" s="26" t="str">
        <x:v>Public CMS</x:v>
      </x:c>
      <x:c r="E37" s="26" t="str">
        <x:v>Current AVASAD/CMS network</x:v>
      </x:c>
      <x:c r="F37" s="26" t="str">
        <x:v>High</x:v>
      </x:c>
      <x:c r="G37" s="26" t="str">
        <x:v>Patient-facing CMS listing later</x:v>
      </x:c>
      <x:c r="H37" s="26" t="str">
        <x:v>Do not create row yet; review in Phase 5F</x:v>
      </x:c>
      <x:c r="I37" s="26" t="str">
        <x:v>https://www.cms-vaud.ch/absmad/centres-medico-sociaux/</x:v>
      </x:c>
      <x:c r="J37" s="26" t="str"/>
    </x:row>
    <x:row r="38">
      <x:c r="A38" s="26" t="n">
        <x:v>34</x:v>
      </x:c>
      <x:c r="B38" s="26" t="str">
        <x:v>CMS d’Aubonne</x:v>
      </x:c>
      <x:c r="C38" s="26" t="str">
        <x:v>FLC — Fondation de La Côte</x:v>
      </x:c>
      <x:c r="D38" s="26" t="str">
        <x:v>Public CMS</x:v>
      </x:c>
      <x:c r="E38" s="26" t="str">
        <x:v>Current AVASAD/CMS network</x:v>
      </x:c>
      <x:c r="F38" s="26" t="str">
        <x:v>High</x:v>
      </x:c>
      <x:c r="G38" s="26" t="str">
        <x:v>Patient-facing CMS listing later</x:v>
      </x:c>
      <x:c r="H38" s="26" t="str">
        <x:v>Do not create row yet; review in Phase 5F</x:v>
      </x:c>
      <x:c r="I38" s="26" t="str">
        <x:v>https://www.cms-vaud.ch/cmslacote/centres-medico-sociaux-5/</x:v>
      </x:c>
      <x:c r="J38" s="26" t="str"/>
    </x:row>
    <x:row r="39">
      <x:c r="A39" s="26" t="n">
        <x:v>35</x:v>
      </x:c>
      <x:c r="B39" s="26" t="str">
        <x:v>CMS de Gland Région</x:v>
      </x:c>
      <x:c r="C39" s="26" t="str">
        <x:v>FLC — Fondation de La Côte</x:v>
      </x:c>
      <x:c r="D39" s="26" t="str">
        <x:v>Public CMS</x:v>
      </x:c>
      <x:c r="E39" s="26" t="str">
        <x:v>Current AVASAD/CMS network</x:v>
      </x:c>
      <x:c r="F39" s="26" t="str">
        <x:v>High</x:v>
      </x:c>
      <x:c r="G39" s="26" t="str">
        <x:v>Patient-facing CMS listing later</x:v>
      </x:c>
      <x:c r="H39" s="26" t="str">
        <x:v>Do not create row yet; review in Phase 5F</x:v>
      </x:c>
      <x:c r="I39" s="26" t="str">
        <x:v>https://www.cms-vaud.ch/cmslacote/centres-medico-sociaux-5/</x:v>
      </x:c>
      <x:c r="J39" s="26" t="str"/>
    </x:row>
    <x:row r="40">
      <x:c r="A40" s="26" t="n">
        <x:v>36</x:v>
      </x:c>
      <x:c r="B40" s="26" t="str">
        <x:v>CMS de Gland Ville</x:v>
      </x:c>
      <x:c r="C40" s="26" t="str">
        <x:v>FLC — Fondation de La Côte</x:v>
      </x:c>
      <x:c r="D40" s="26" t="str">
        <x:v>Public CMS</x:v>
      </x:c>
      <x:c r="E40" s="26" t="str">
        <x:v>Current AVASAD/CMS network</x:v>
      </x:c>
      <x:c r="F40" s="26" t="str">
        <x:v>High</x:v>
      </x:c>
      <x:c r="G40" s="26" t="str">
        <x:v>Patient-facing CMS listing later</x:v>
      </x:c>
      <x:c r="H40" s="26" t="str">
        <x:v>Do not create row yet; review in Phase 5F</x:v>
      </x:c>
      <x:c r="I40" s="26" t="str">
        <x:v>https://www.cms-vaud.ch/cmslacote/centres-medico-sociaux-5/</x:v>
      </x:c>
      <x:c r="J40" s="26" t="str"/>
    </x:row>
    <x:row r="41">
      <x:c r="A41" s="26" t="n">
        <x:v>37</x:v>
      </x:c>
      <x:c r="B41" s="26" t="str">
        <x:v>CMS de Morges-Est</x:v>
      </x:c>
      <x:c r="C41" s="26" t="str">
        <x:v>FLC — Fondation de La Côte</x:v>
      </x:c>
      <x:c r="D41" s="26" t="str">
        <x:v>Public CMS</x:v>
      </x:c>
      <x:c r="E41" s="26" t="str">
        <x:v>Current AVASAD/CMS network</x:v>
      </x:c>
      <x:c r="F41" s="26" t="str">
        <x:v>High</x:v>
      </x:c>
      <x:c r="G41" s="26" t="str">
        <x:v>Patient-facing CMS listing later</x:v>
      </x:c>
      <x:c r="H41" s="26" t="str">
        <x:v>Do not create row yet; review in Phase 5F</x:v>
      </x:c>
      <x:c r="I41" s="26" t="str">
        <x:v>https://www.cms-vaud.ch/cmslacote/centres-medico-sociaux-5/</x:v>
      </x:c>
      <x:c r="J41" s="26" t="str"/>
    </x:row>
    <x:row r="42">
      <x:c r="A42" s="26" t="n">
        <x:v>38</x:v>
      </x:c>
      <x:c r="B42" s="26" t="str">
        <x:v>CMS de Morges-Ouest</x:v>
      </x:c>
      <x:c r="C42" s="26" t="str">
        <x:v>FLC — Fondation de La Côte</x:v>
      </x:c>
      <x:c r="D42" s="26" t="str">
        <x:v>Public CMS</x:v>
      </x:c>
      <x:c r="E42" s="26" t="str">
        <x:v>Current AVASAD/CMS network</x:v>
      </x:c>
      <x:c r="F42" s="26" t="str">
        <x:v>High</x:v>
      </x:c>
      <x:c r="G42" s="26" t="str">
        <x:v>Patient-facing CMS listing later</x:v>
      </x:c>
      <x:c r="H42" s="26" t="str">
        <x:v>Do not create row yet; review in Phase 5F</x:v>
      </x:c>
      <x:c r="I42" s="26" t="str">
        <x:v>https://www.cms-vaud.ch/cmslacote/centres-medico-sociaux-5/</x:v>
      </x:c>
      <x:c r="J42" s="26" t="str"/>
    </x:row>
    <x:row r="43">
      <x:c r="A43" s="26" t="n">
        <x:v>39</x:v>
      </x:c>
      <x:c r="B43" s="26" t="str">
        <x:v>CMS de Nyon</x:v>
      </x:c>
      <x:c r="C43" s="26" t="str">
        <x:v>FLC — Fondation de La Côte</x:v>
      </x:c>
      <x:c r="D43" s="26" t="str">
        <x:v>Public CMS</x:v>
      </x:c>
      <x:c r="E43" s="26" t="str">
        <x:v>Current AVASAD/CMS network</x:v>
      </x:c>
      <x:c r="F43" s="26" t="str">
        <x:v>High</x:v>
      </x:c>
      <x:c r="G43" s="26" t="str">
        <x:v>Patient-facing CMS listing later</x:v>
      </x:c>
      <x:c r="H43" s="26" t="str">
        <x:v>Do not create row yet; review in Phase 5F</x:v>
      </x:c>
      <x:c r="I43" s="26" t="str">
        <x:v>https://www.cms-vaud.ch/cmslacote/centres-medico-sociaux-5/</x:v>
      </x:c>
      <x:c r="J43" s="26" t="str"/>
    </x:row>
    <x:row r="44">
      <x:c r="A44" s="26" t="n">
        <x:v>40</x:v>
      </x:c>
      <x:c r="B44" s="26" t="str">
        <x:v>CMS de Rolle</x:v>
      </x:c>
      <x:c r="C44" s="26" t="str">
        <x:v>FLC — Fondation de La Côte</x:v>
      </x:c>
      <x:c r="D44" s="26" t="str">
        <x:v>Public CMS</x:v>
      </x:c>
      <x:c r="E44" s="26" t="str">
        <x:v>Current AVASAD/CMS network</x:v>
      </x:c>
      <x:c r="F44" s="26" t="str">
        <x:v>High</x:v>
      </x:c>
      <x:c r="G44" s="26" t="str">
        <x:v>Patient-facing CMS listing later</x:v>
      </x:c>
      <x:c r="H44" s="26" t="str">
        <x:v>Do not create row yet; review in Phase 5F</x:v>
      </x:c>
      <x:c r="I44" s="26" t="str">
        <x:v>https://www.cms-vaud.ch/cmslacote/centres-medico-sociaux-5/</x:v>
      </x:c>
      <x:c r="J44" s="26" t="str"/>
    </x:row>
    <x:row r="45">
      <x:c r="A45" s="26" t="n">
        <x:v>41</x:v>
      </x:c>
      <x:c r="B45" s="26" t="str">
        <x:v>CMS de Saint-Prex</x:v>
      </x:c>
      <x:c r="C45" s="26" t="str">
        <x:v>FLC — Fondation de La Côte</x:v>
      </x:c>
      <x:c r="D45" s="26" t="str">
        <x:v>Public CMS</x:v>
      </x:c>
      <x:c r="E45" s="26" t="str">
        <x:v>Current AVASAD/CMS network</x:v>
      </x:c>
      <x:c r="F45" s="26" t="str">
        <x:v>High</x:v>
      </x:c>
      <x:c r="G45" s="26" t="str">
        <x:v>Patient-facing CMS listing later</x:v>
      </x:c>
      <x:c r="H45" s="26" t="str">
        <x:v>Do not create row yet; review in Phase 5F</x:v>
      </x:c>
      <x:c r="I45" s="26" t="str">
        <x:v>https://www.cms-vaud.ch/cmslacote/centres-medico-sociaux-5/</x:v>
      </x:c>
      <x:c r="J45" s="26" t="str"/>
    </x:row>
    <x:row r="46">
      <x:c r="A46" s="26" t="n">
        <x:v>42</x:v>
      </x:c>
      <x:c r="B46" s="26" t="str">
        <x:v>CMS de Terre-Sainte</x:v>
      </x:c>
      <x:c r="C46" s="26" t="str">
        <x:v>FLC — Fondation de La Côte</x:v>
      </x:c>
      <x:c r="D46" s="26" t="str">
        <x:v>Public CMS</x:v>
      </x:c>
      <x:c r="E46" s="26" t="str">
        <x:v>Current AVASAD/CMS network</x:v>
      </x:c>
      <x:c r="F46" s="26" t="str">
        <x:v>High</x:v>
      </x:c>
      <x:c r="G46" s="26" t="str">
        <x:v>Patient-facing CMS listing later</x:v>
      </x:c>
      <x:c r="H46" s="26" t="str">
        <x:v>Do not create row yet; review in Phase 5F</x:v>
      </x:c>
      <x:c r="I46" s="26" t="str">
        <x:v>https://www.cms-vaud.ch/cmslacote/centres-medico-sociaux-5/</x:v>
      </x:c>
      <x:c r="J46" s="26" t="str"/>
    </x:row>
    <x:row r="47">
      <x:c r="A47" s="26" t="n">
        <x:v>43</x:v>
      </x:c>
      <x:c r="B47" s="26" t="str">
        <x:v>CMS Cossonay</x:v>
      </x:c>
      <x:c r="C47" s="26" t="str">
        <x:v>ASPMAD — Nord vaudois</x:v>
      </x:c>
      <x:c r="D47" s="26" t="str">
        <x:v>Public CMS</x:v>
      </x:c>
      <x:c r="E47" s="26" t="str">
        <x:v>Current AVASAD/CMS network</x:v>
      </x:c>
      <x:c r="F47" s="26" t="str">
        <x:v>High</x:v>
      </x:c>
      <x:c r="G47" s="26" t="str">
        <x:v>Patient-facing CMS listing later</x:v>
      </x:c>
      <x:c r="H47" s="26" t="str">
        <x:v>Do not create row yet; review in Phase 5F</x:v>
      </x:c>
      <x:c r="I47" s="26" t="str">
        <x:v>https://www.cms-vaud.ch/aspmad/centres-medico-sociaux-8/</x:v>
      </x:c>
      <x:c r="J47" s="26" t="str"/>
    </x:row>
    <x:row r="48">
      <x:c r="A48" s="26" t="n">
        <x:v>44</x:v>
      </x:c>
      <x:c r="B48" s="26" t="str">
        <x:v>CMS Grandson</x:v>
      </x:c>
      <x:c r="C48" s="26" t="str">
        <x:v>ASPMAD — Nord vaudois</x:v>
      </x:c>
      <x:c r="D48" s="26" t="str">
        <x:v>Public CMS</x:v>
      </x:c>
      <x:c r="E48" s="26" t="str">
        <x:v>Current AVASAD/CMS network</x:v>
      </x:c>
      <x:c r="F48" s="26" t="str">
        <x:v>High</x:v>
      </x:c>
      <x:c r="G48" s="26" t="str">
        <x:v>Patient-facing CMS listing later</x:v>
      </x:c>
      <x:c r="H48" s="26" t="str">
        <x:v>Do not create row yet; review in Phase 5F</x:v>
      </x:c>
      <x:c r="I48" s="26" t="str">
        <x:v>https://www.cms-vaud.ch/aspmad/centres-medico-sociaux-8/</x:v>
      </x:c>
      <x:c r="J48" s="26" t="str"/>
    </x:row>
    <x:row r="49">
      <x:c r="A49" s="26" t="n">
        <x:v>45</x:v>
      </x:c>
      <x:c r="B49" s="26" t="str">
        <x:v>CMS La Vallée</x:v>
      </x:c>
      <x:c r="C49" s="26" t="str">
        <x:v>ASPMAD — Nord vaudois</x:v>
      </x:c>
      <x:c r="D49" s="26" t="str">
        <x:v>Public CMS</x:v>
      </x:c>
      <x:c r="E49" s="26" t="str">
        <x:v>Current AVASAD/CMS network</x:v>
      </x:c>
      <x:c r="F49" s="26" t="str">
        <x:v>High</x:v>
      </x:c>
      <x:c r="G49" s="26" t="str">
        <x:v>Patient-facing CMS listing later</x:v>
      </x:c>
      <x:c r="H49" s="26" t="str">
        <x:v>Do not create row yet; review in Phase 5F</x:v>
      </x:c>
      <x:c r="I49" s="26" t="str">
        <x:v>https://www.cms-vaud.ch/aspmad/centres-medico-sociaux-8/</x:v>
      </x:c>
      <x:c r="J49" s="26" t="str"/>
    </x:row>
    <x:row r="50">
      <x:c r="A50" s="26" t="n">
        <x:v>46</x:v>
      </x:c>
      <x:c r="B50" s="26" t="str">
        <x:v>CMS Orbe</x:v>
      </x:c>
      <x:c r="C50" s="26" t="str">
        <x:v>ASPMAD — Nord vaudois</x:v>
      </x:c>
      <x:c r="D50" s="26" t="str">
        <x:v>Public CMS</x:v>
      </x:c>
      <x:c r="E50" s="26" t="str">
        <x:v>Current AVASAD/CMS network</x:v>
      </x:c>
      <x:c r="F50" s="26" t="str">
        <x:v>High</x:v>
      </x:c>
      <x:c r="G50" s="26" t="str">
        <x:v>Patient-facing CMS listing later</x:v>
      </x:c>
      <x:c r="H50" s="26" t="str">
        <x:v>Do not create row yet; review in Phase 5F</x:v>
      </x:c>
      <x:c r="I50" s="26" t="str">
        <x:v>https://www.cms-vaud.ch/aspmad/centres-medico-sociaux-8/</x:v>
      </x:c>
      <x:c r="J50" s="26" t="str"/>
    </x:row>
    <x:row r="51">
      <x:c r="A51" s="26" t="n">
        <x:v>47</x:v>
      </x:c>
      <x:c r="B51" s="26" t="str">
        <x:v>CMS Sainte-Croix</x:v>
      </x:c>
      <x:c r="C51" s="26" t="str">
        <x:v>ASPMAD — Nord vaudois</x:v>
      </x:c>
      <x:c r="D51" s="26" t="str">
        <x:v>Public CMS</x:v>
      </x:c>
      <x:c r="E51" s="26" t="str">
        <x:v>Current AVASAD/CMS network</x:v>
      </x:c>
      <x:c r="F51" s="26" t="str">
        <x:v>High</x:v>
      </x:c>
      <x:c r="G51" s="26" t="str">
        <x:v>Patient-facing CMS listing later</x:v>
      </x:c>
      <x:c r="H51" s="26" t="str">
        <x:v>Do not create row yet; review in Phase 5F</x:v>
      </x:c>
      <x:c r="I51" s="26" t="str">
        <x:v>https://www.cms-vaud.ch/aspmad/centres-medico-sociaux-8/</x:v>
      </x:c>
      <x:c r="J51" s="26" t="str"/>
    </x:row>
    <x:row r="52">
      <x:c r="A52" s="26" t="n">
        <x:v>48</x:v>
      </x:c>
      <x:c r="B52" s="26" t="str">
        <x:v>CMS Vallorbe</x:v>
      </x:c>
      <x:c r="C52" s="26" t="str">
        <x:v>ASPMAD — Nord vaudois</x:v>
      </x:c>
      <x:c r="D52" s="26" t="str">
        <x:v>Public CMS</x:v>
      </x:c>
      <x:c r="E52" s="26" t="str">
        <x:v>Current AVASAD/CMS network</x:v>
      </x:c>
      <x:c r="F52" s="26" t="str">
        <x:v>High</x:v>
      </x:c>
      <x:c r="G52" s="26" t="str">
        <x:v>Patient-facing CMS listing later</x:v>
      </x:c>
      <x:c r="H52" s="26" t="str">
        <x:v>Do not create row yet; review in Phase 5F</x:v>
      </x:c>
      <x:c r="I52" s="26" t="str">
        <x:v>https://www.cms-vaud.ch/aspmad/centres-medico-sociaux-8/</x:v>
      </x:c>
      <x:c r="J52" s="26" t="str"/>
    </x:row>
    <x:row r="53">
      <x:c r="A53" s="26" t="n">
        <x:v>49</x:v>
      </x:c>
      <x:c r="B53" s="26" t="str">
        <x:v>CMS Yverdon</x:v>
      </x:c>
      <x:c r="C53" s="26" t="str">
        <x:v>ASPMAD — Nord vaudois</x:v>
      </x:c>
      <x:c r="D53" s="26" t="str">
        <x:v>Public CMS</x:v>
      </x:c>
      <x:c r="E53" s="26" t="str">
        <x:v>Current AVASAD/CMS network</x:v>
      </x:c>
      <x:c r="F53" s="26" t="str">
        <x:v>High</x:v>
      </x:c>
      <x:c r="G53" s="26" t="str">
        <x:v>Patient-facing CMS listing later</x:v>
      </x:c>
      <x:c r="H53" s="26" t="str">
        <x:v>Do not create row yet; review in Phase 5F</x:v>
      </x:c>
      <x:c r="I53" s="26" t="str">
        <x:v>https://www.cms-vaud.ch/aspmad/centres-medico-sociaux-8/</x:v>
      </x:c>
      <x:c r="J53" s="26" t="str">
        <x:v>Current CMS page treats Yverdon as one CMS; older/CCT material may still show Yverdon Est/Ouest separately.</x:v>
      </x:c>
    </x:row>
    <x:row r="54">
      <x:c r="A54" s="26" t="n">
        <x:v>50</x:v>
      </x:c>
      <x:c r="B54" s="26" t="str">
        <x:v>CMS Yvonand</x:v>
      </x:c>
      <x:c r="C54" s="26" t="str">
        <x:v>ASPMAD — Nord vaudois</x:v>
      </x:c>
      <x:c r="D54" s="26" t="str">
        <x:v>Public CMS</x:v>
      </x:c>
      <x:c r="E54" s="26" t="str">
        <x:v>Current AVASAD/CMS network</x:v>
      </x:c>
      <x:c r="F54" s="26" t="str">
        <x:v>High</x:v>
      </x:c>
      <x:c r="G54" s="26" t="str">
        <x:v>Patient-facing CMS listing later</x:v>
      </x:c>
      <x:c r="H54" s="26" t="str">
        <x:v>Do not create row yet; review in Phase 5F</x:v>
      </x:c>
      <x:c r="I54" s="26" t="str">
        <x:v>https://www.cms-vaud.ch/aspmad/centres-medico-sociaux-8/</x:v>
      </x:c>
      <x:c r="J54" s="26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2c527bd0c644b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26" hidden="0" customWidth="1"/>
    <x:col min="4" max="4" width="26" hidden="0" customWidth="1"/>
    <x:col min="5" max="5" width="14" hidden="0" customWidth="1"/>
    <x:col min="6" max="6" width="32" hidden="0" customWidth="1"/>
    <x:col min="7" max="7" width="30" hidden="0" customWidth="1"/>
    <x:col min="8" max="8" width="52" hidden="0" customWidth="1"/>
    <x:col min="9" max="9" width="55" hidden="0" customWidth="1"/>
  </x:cols>
  <x:sheetData>
    <x:row r="1" ht="30" customHeight="1">
      <x:c r="A1" s="4" t="str">
        <x:v>Private Home-Care Candidate Universe — 33 Canonical Identities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10" t="str">
        <x:v>Deduplicated research universe. 'Candidate' is not the same as final Canton authorization proof.</x:v>
      </x:c>
      <x:c r="B2" s="10"/>
      <x:c r="C2" s="10"/>
      <x:c r="D2" s="10"/>
      <x:c r="E2" s="10"/>
      <x:c r="F2" s="10"/>
      <x:c r="G2" s="10"/>
      <x:c r="H2" s="10"/>
      <x:c r="I2" s="10"/>
    </x:row>
    <x:row r="4" ht="28" customHeight="1">
      <x:c r="A4" s="18" t="str">
        <x:v>Public / canonical name</x:v>
      </x:c>
      <x:c r="B4" s="18" t="str">
        <x:v>Current class</x:v>
      </x:c>
      <x:c r="C4" s="18" t="str">
        <x:v>Provider profile</x:v>
      </x:c>
      <x:c r="D4" s="18" t="str">
        <x:v>Evidence regions</x:v>
      </x:c>
      <x:c r="E4" s="18" t="str">
        <x:v>Confidence</x:v>
      </x:c>
      <x:c r="F4" s="18" t="str">
        <x:v>Recommended action</x:v>
      </x:c>
      <x:c r="G4" s="18" t="str">
        <x:v>Existing Lia match</x:v>
      </x:c>
      <x:c r="H4" s="18" t="str">
        <x:v>Primary source URL</x:v>
      </x:c>
      <x:c r="I4" s="18" t="str">
        <x:v>Identity / scope notes</x:v>
      </x:c>
    </x:row>
    <x:row r="5">
      <x:c r="A5" s="26" t="str">
        <x:v>Altoan SA</x:v>
      </x:c>
      <x:c r="B5" s="26" t="str">
        <x:v>Type 1 candidate</x:v>
      </x:c>
      <x:c r="C5" s="26" t="str">
        <x:v>Commercial/independent</x:v>
      </x:c>
      <x:c r="D5" s="26" t="str">
        <x:v>HL</x:v>
      </x:c>
      <x:c r="E5" s="26" t="str">
        <x:v>High</x:v>
      </x:c>
      <x:c r="F5" s="26" t="str">
        <x:v>New Lia listing candidate</x:v>
      </x:c>
      <x:c r="G5" s="26" t="str">
        <x:v>No known Lia match</x:v>
      </x:c>
      <x:c r="H5" s="26" t="str">
        <x:v>https://reseau-sante-haut-leman.ch/centres-medico-sociaux-cms-et-organisations-de-soins-a-domicile-privees-osad/</x:v>
      </x:c>
      <x:c r="I5" s="26" t="str">
        <x:v>Explicit Type-1 list; Vaud service evidence.</x:v>
      </x:c>
    </x:row>
    <x:row r="6">
      <x:c r="A6" s="26" t="str">
        <x:v>ASDR – Aide et Service à Domicile Romand Sàrl</x:v>
      </x:c>
      <x:c r="B6" s="26" t="str">
        <x:v>Type 1 candidate</x:v>
      </x:c>
      <x:c r="C6" s="26" t="str">
        <x:v>Commercial/independent</x:v>
      </x:c>
      <x:c r="D6" s="26" t="str">
        <x:v>HL</x:v>
      </x:c>
      <x:c r="E6" s="26" t="str">
        <x:v>High</x:v>
      </x:c>
      <x:c r="F6" s="26" t="str">
        <x:v>New Lia listing candidate</x:v>
      </x:c>
      <x:c r="G6" s="26" t="str">
        <x:v>No known Lia match</x:v>
      </x:c>
      <x:c r="H6" s="26" t="str">
        <x:v>https://reseau-sante-haut-leman.ch/centres-medico-sociaux-cms-et-organisations-de-soins-a-domicile-privees-osad/</x:v>
      </x:c>
      <x:c r="I6" s="26" t="str">
        <x:v>Office in Valais; current network explicitly marks Chablais vaudois coverage.</x:v>
      </x:c>
    </x:row>
    <x:row r="7">
      <x:c r="A7" s="26" t="str">
        <x:v>CPSE Alexandra Sàrl</x:v>
      </x:c>
      <x:c r="B7" s="26" t="str">
        <x:v>Type 1 candidate</x:v>
      </x:c>
      <x:c r="C7" s="26" t="str">
        <x:v>Commercial/independent</x:v>
      </x:c>
      <x:c r="D7" s="26" t="str">
        <x:v>HL</x:v>
      </x:c>
      <x:c r="E7" s="26" t="str">
        <x:v>High</x:v>
      </x:c>
      <x:c r="F7" s="26" t="str">
        <x:v>New Lia listing candidate</x:v>
      </x:c>
      <x:c r="G7" s="26" t="str">
        <x:v>No known Lia match</x:v>
      </x:c>
      <x:c r="H7" s="26" t="str">
        <x:v>https://reseau-sante-haut-leman.ch/centres-medico-sociaux-cms-et-organisations-de-soins-a-domicile-privees-osad/</x:v>
      </x:c>
      <x:c r="I7" s="26" t="str">
        <x:v>Riviera coverage.</x:v>
      </x:c>
    </x:row>
    <x:row r="8">
      <x:c r="A8" s="26" t="str">
        <x:v>C-VITAL Sàrl</x:v>
      </x:c>
      <x:c r="B8" s="26" t="str">
        <x:v>Type 1 candidate</x:v>
      </x:c>
      <x:c r="C8" s="26" t="str">
        <x:v>Commercial/independent</x:v>
      </x:c>
      <x:c r="D8" s="26" t="str">
        <x:v>HL / La Côte / Nord-Broye</x:v>
      </x:c>
      <x:c r="E8" s="26" t="str">
        <x:v>High</x:v>
      </x:c>
      <x:c r="F8" s="26" t="str">
        <x:v>New Lia listing candidate</x:v>
      </x:c>
      <x:c r="G8" s="26" t="str">
        <x:v>No known Lia match</x:v>
      </x:c>
      <x:c r="H8" s="26" t="str">
        <x:v>https://reseau-sante-haut-leman.ch/centres-medico-sociaux-cms-et-organisations-de-soins-a-domicile-privees-osad/</x:v>
      </x:c>
      <x:c r="I8" s="26" t="str">
        <x:v>Cross-region current evidence.</x:v>
      </x:c>
    </x:row>
    <x:row r="9">
      <x:c r="A9" s="26" t="str">
        <x:v>Fondation Beau-Séjour</x:v>
      </x:c>
      <x:c r="B9" s="26" t="str">
        <x:v>Type 1 candidate</x:v>
      </x:c>
      <x:c r="C9" s="26" t="str">
        <x:v>Foundation-linked provider</x:v>
      </x:c>
      <x:c r="D9" s="26" t="str">
        <x:v>HL</x:v>
      </x:c>
      <x:c r="E9" s="26" t="str">
        <x:v>High</x:v>
      </x:c>
      <x:c r="F9" s="26" t="str">
        <x:v>New Lia listing candidate</x:v>
      </x:c>
      <x:c r="G9" s="26" t="str">
        <x:v>No known Lia match</x:v>
      </x:c>
      <x:c r="H9" s="26" t="str">
        <x:v>https://reseau-sante-haut-leman.ch/centres-medico-sociaux-cms-et-organisations-de-soins-a-domicile-privees-osad/</x:v>
      </x:c>
      <x:c r="I9" s="26" t="str">
        <x:v>Type-1 in current Haut-Léman list despite institutional affiliation.</x:v>
      </x:c>
    </x:row>
    <x:row r="10">
      <x:c r="A10" s="26" t="str">
        <x:v>Groupe Romand Prévention Traitement Plaies (GRPTP)</x:v>
      </x:c>
      <x:c r="B10" s="26" t="str">
        <x:v>Type 1 candidate</x:v>
      </x:c>
      <x:c r="C10" s="26" t="str">
        <x:v>Specialist wound care</x:v>
      </x:c>
      <x:c r="D10" s="26" t="str">
        <x:v>HL / La Côte</x:v>
      </x:c>
      <x:c r="E10" s="26" t="str">
        <x:v>High</x:v>
      </x:c>
      <x:c r="F10" s="26" t="str">
        <x:v>New specialist listing candidate</x:v>
      </x:c>
      <x:c r="G10" s="26" t="str">
        <x:v>No known Lia match</x:v>
      </x:c>
      <x:c r="H10" s="26" t="str">
        <x:v>https://reseau-sante-haut-leman.ch/centres-medico-sociaux-cms-et-organisations-de-soins-a-domicile-privees-osad/</x:v>
      </x:c>
      <x:c r="I10" s="26" t="str">
        <x:v>Specialist provider; avoid assuming full generalist service set.</x:v>
      </x:c>
    </x:row>
    <x:row r="11">
      <x:c r="A11" s="26" t="str">
        <x:v>Home Assistance Sàrl</x:v>
      </x:c>
      <x:c r="B11" s="26" t="str">
        <x:v>Type 1 candidate</x:v>
      </x:c>
      <x:c r="C11" s="26" t="str">
        <x:v>Commercial/independent</x:v>
      </x:c>
      <x:c r="D11" s="26" t="str">
        <x:v>HL / La Côte / Nord-Broye</x:v>
      </x:c>
      <x:c r="E11" s="26" t="str">
        <x:v>High</x:v>
      </x:c>
      <x:c r="F11" s="26" t="str">
        <x:v>New Lia listing candidate</x:v>
      </x:c>
      <x:c r="G11" s="26" t="str">
        <x:v>No known Lia match</x:v>
      </x:c>
      <x:c r="H11" s="26" t="str">
        <x:v>https://reseau-sante-haut-leman.ch/centres-medico-sociaux-cms-et-organisations-de-soins-a-domicile-privees-osad/</x:v>
      </x:c>
      <x:c r="I11" s="26" t="str">
        <x:v>Cross-region current evidence.</x:v>
      </x:c>
    </x:row>
    <x:row r="12">
      <x:c r="A12" s="26" t="str">
        <x:v>La Boîte O Services Sàrl</x:v>
      </x:c>
      <x:c r="B12" s="26" t="str">
        <x:v>Type 1 candidate</x:v>
      </x:c>
      <x:c r="C12" s="26" t="str">
        <x:v>Commercial/independent</x:v>
      </x:c>
      <x:c r="D12" s="26" t="str">
        <x:v>HL / La Côte / Nord-Broye</x:v>
      </x:c>
      <x:c r="E12" s="26" t="str">
        <x:v>High</x:v>
      </x:c>
      <x:c r="F12" s="26" t="str">
        <x:v>New Lia listing candidate</x:v>
      </x:c>
      <x:c r="G12" s="26" t="str">
        <x:v>No known Lia match</x:v>
      </x:c>
      <x:c r="H12" s="26" t="str">
        <x:v>https://reseau-sante-haut-leman.ch/centres-medico-sociaux-cms-et-organisations-de-soins-a-domicile-privees-osad/</x:v>
      </x:c>
      <x:c r="I12" s="26" t="str">
        <x:v>Relationship with La Réponse needs legal/operating-unit resolution.</x:v>
      </x:c>
    </x:row>
    <x:row r="13">
      <x:c r="A13" s="26" t="str">
        <x:v>La Réponse Sàrl</x:v>
      </x:c>
      <x:c r="B13" s="26" t="str">
        <x:v>Type 1 candidate</x:v>
      </x:c>
      <x:c r="C13" s="26" t="str">
        <x:v>Commercial/independent</x:v>
      </x:c>
      <x:c r="D13" s="26" t="str">
        <x:v>HL</x:v>
      </x:c>
      <x:c r="E13" s="26" t="str">
        <x:v>High</x:v>
      </x:c>
      <x:c r="F13" s="26" t="str">
        <x:v>New Lia listing candidate</x:v>
      </x:c>
      <x:c r="G13" s="26" t="str">
        <x:v>No known Lia match</x:v>
      </x:c>
      <x:c r="H13" s="26" t="str">
        <x:v>https://reseau-sante-haut-leman.ch/centres-medico-sociaux-cms-et-organisations-de-soins-a-domicile-privees-osad/</x:v>
      </x:c>
      <x:c r="I13" s="26" t="str">
        <x:v>Appears with contact linkage to La Boîte O Services; resolve organization relationship.</x:v>
      </x:c>
    </x:row>
    <x:row r="14">
      <x:c r="A14" s="26" t="str">
        <x:v>La Source à domicile Sàrl</x:v>
      </x:c>
      <x:c r="B14" s="26" t="str">
        <x:v>Type 1 candidate</x:v>
      </x:c>
      <x:c r="C14" s="26" t="str">
        <x:v>Commercial/independent</x:v>
      </x:c>
      <x:c r="D14" s="26" t="str">
        <x:v>HL / La Côte / Nord-Broye</x:v>
      </x:c>
      <x:c r="E14" s="26" t="str">
        <x:v>High</x:v>
      </x:c>
      <x:c r="F14" s="26" t="str">
        <x:v>New Lia listing candidate</x:v>
      </x:c>
      <x:c r="G14" s="26" t="str">
        <x:v>No known Lia match</x:v>
      </x:c>
      <x:c r="H14" s="26" t="str">
        <x:v>https://reseau-sante-haut-leman.ch/centres-medico-sociaux-cms-et-organisations-de-soins-a-domicile-privees-osad/</x:v>
      </x:c>
      <x:c r="I14" s="26" t="str">
        <x:v>Former names include UniQue Care / Unique Soins à domicile.</x:v>
      </x:c>
    </x:row>
    <x:row r="15">
      <x:c r="A15" s="26" t="str">
        <x:v>Les Soins Volants Sàrl</x:v>
      </x:c>
      <x:c r="B15" s="26" t="str">
        <x:v>Type 1 candidate</x:v>
      </x:c>
      <x:c r="C15" s="26" t="str">
        <x:v>Commercial/independent</x:v>
      </x:c>
      <x:c r="D15" s="26" t="str">
        <x:v>HL / La Côte / Nord-Broye</x:v>
      </x:c>
      <x:c r="E15" s="26" t="str">
        <x:v>High</x:v>
      </x:c>
      <x:c r="F15" s="26" t="str">
        <x:v>New Lia listing candidate</x:v>
      </x:c>
      <x:c r="G15" s="26" t="str">
        <x:v>No known Lia match</x:v>
      </x:c>
      <x:c r="H15" s="26" t="str">
        <x:v>https://reseau-sante-haut-leman.ch/centres-medico-sociaux-cms-et-organisations-de-soins-a-domicile-privees-osad/</x:v>
      </x:c>
      <x:c r="I15" s="26" t="str">
        <x:v>Cross-region current evidence.</x:v>
      </x:c>
    </x:row>
    <x:row r="16">
      <x:c r="A16" s="26" t="str">
        <x:v>Ligue pulmonaire vaudoise</x:v>
      </x:c>
      <x:c r="B16" s="26" t="str">
        <x:v>Type 1 candidate</x:v>
      </x:c>
      <x:c r="C16" s="26" t="str">
        <x:v>Specialist nonprofit</x:v>
      </x:c>
      <x:c r="D16" s="26" t="str">
        <x:v>HL / La Côte</x:v>
      </x:c>
      <x:c r="E16" s="26" t="str">
        <x:v>High</x:v>
      </x:c>
      <x:c r="F16" s="26" t="str">
        <x:v>New specialist listing candidate</x:v>
      </x:c>
      <x:c r="G16" s="26" t="str">
        <x:v>No known Lia match</x:v>
      </x:c>
      <x:c r="H16" s="26" t="str">
        <x:v>https://reseau-sante-haut-leman.ch/centres-medico-sociaux-cms-et-organisations-de-soins-a-domicile-privees-osad/</x:v>
      </x:c>
      <x:c r="I16" s="26" t="str">
        <x:v>Specialist respiratory scope; do not model as generic full-service OSAD without offering-level evidence.</x:v>
      </x:c>
    </x:row>
    <x:row r="17">
      <x:c r="A17" s="26" t="str">
        <x:v>MSG soins Sàrl</x:v>
      </x:c>
      <x:c r="B17" s="26" t="str">
        <x:v>Type 1 candidate</x:v>
      </x:c>
      <x:c r="C17" s="26" t="str">
        <x:v>Commercial/independent</x:v>
      </x:c>
      <x:c r="D17" s="26" t="str">
        <x:v>HL</x:v>
      </x:c>
      <x:c r="E17" s="26" t="str">
        <x:v>High</x:v>
      </x:c>
      <x:c r="F17" s="26" t="str">
        <x:v>New Lia listing candidate</x:v>
      </x:c>
      <x:c r="G17" s="26" t="str">
        <x:v>No known Lia match</x:v>
      </x:c>
      <x:c r="H17" s="26" t="str">
        <x:v>https://reseau-sante-haut-leman.ch/centres-medico-sociaux-cms-et-organisations-de-soins-a-domicile-privees-osad/</x:v>
      </x:c>
      <x:c r="I17" s="26" t="str">
        <x:v>Riviera coverage.</x:v>
      </x:c>
    </x:row>
    <x:row r="18">
      <x:c r="A18" s="26" t="str">
        <x:v>Ô Santé Sàrl</x:v>
      </x:c>
      <x:c r="B18" s="26" t="str">
        <x:v>Type 1 candidate</x:v>
      </x:c>
      <x:c r="C18" s="26" t="str">
        <x:v>Commercial/independent</x:v>
      </x:c>
      <x:c r="D18" s="26" t="str">
        <x:v>HL / La Côte / Nord-Broye</x:v>
      </x:c>
      <x:c r="E18" s="26" t="str">
        <x:v>High</x:v>
      </x:c>
      <x:c r="F18" s="26" t="str">
        <x:v>New Lia listing candidate</x:v>
      </x:c>
      <x:c r="G18" s="26" t="str">
        <x:v>No known Lia match</x:v>
      </x:c>
      <x:c r="H18" s="26" t="str">
        <x:v>https://reseau-sante-haut-leman.ch/centres-medico-sociaux-cms-et-organisations-de-soins-a-domicile-privees-osad/</x:v>
      </x:c>
      <x:c r="I18" s="26" t="str">
        <x:v>Cross-region current evidence.</x:v>
      </x:c>
    </x:row>
    <x:row r="19">
      <x:c r="A19" s="26" t="str">
        <x:v>Proxi-Soins Sàrl</x:v>
      </x:c>
      <x:c r="B19" s="26" t="str">
        <x:v>Type 1 candidate</x:v>
      </x:c>
      <x:c r="C19" s="26" t="str">
        <x:v>Commercial/independent</x:v>
      </x:c>
      <x:c r="D19" s="26" t="str">
        <x:v>HL / La Côte / Nord-Broye</x:v>
      </x:c>
      <x:c r="E19" s="26" t="str">
        <x:v>High</x:v>
      </x:c>
      <x:c r="F19" s="26" t="str">
        <x:v>New Lia listing candidate</x:v>
      </x:c>
      <x:c r="G19" s="26" t="str">
        <x:v>No known Lia match</x:v>
      </x:c>
      <x:c r="H19" s="26" t="str">
        <x:v>https://reseau-sante-haut-leman.ch/centres-medico-sociaux-cms-et-organisations-de-soins-a-domicile-privees-osad/</x:v>
      </x:c>
      <x:c r="I19" s="26" t="str">
        <x:v>Cross-region current evidence; addresses differ across directories—resolve current office separately from coverage.</x:v>
      </x:c>
    </x:row>
    <x:row r="20">
      <x:c r="A20" s="26" t="str">
        <x:v>La-solution.ch</x:v>
      </x:c>
      <x:c r="B20" s="26" t="str">
        <x:v>Type 1 candidate</x:v>
      </x:c>
      <x:c r="C20" s="26" t="str">
        <x:v>Commercial/network</x:v>
      </x:c>
      <x:c r="D20" s="26" t="str">
        <x:v>HL / La Côte / Nord-Broye</x:v>
      </x:c>
      <x:c r="E20" s="26" t="str">
        <x:v>High</x:v>
      </x:c>
      <x:c r="F20" s="26" t="str">
        <x:v>New Lia listing candidate</x:v>
      </x:c>
      <x:c r="G20" s="26" t="str">
        <x:v>No known Lia match</x:v>
      </x:c>
      <x:c r="H20" s="26" t="str">
        <x:v>https://reseau-sante-haut-leman.ch/centres-medico-sociaux-cms-et-organisations-de-soins-a-domicile-privees-osad/</x:v>
      </x:c>
      <x:c r="I20" s="26" t="str">
        <x:v>Current Type-1 evidence.</x:v>
      </x:c>
    </x:row>
    <x:row r="21">
      <x:c r="A21" s="26" t="str">
        <x:v>SBV Médical Sàrl</x:v>
      </x:c>
      <x:c r="B21" s="26" t="str">
        <x:v>Type 1 candidate</x:v>
      </x:c>
      <x:c r="C21" s="26" t="str">
        <x:v>Commercial/independent</x:v>
      </x:c>
      <x:c r="D21" s="26" t="str">
        <x:v>HL / La Côte</x:v>
      </x:c>
      <x:c r="E21" s="26" t="str">
        <x:v>High</x:v>
      </x:c>
      <x:c r="F21" s="26" t="str">
        <x:v>New Lia listing candidate</x:v>
      </x:c>
      <x:c r="G21" s="26" t="str">
        <x:v>No known Lia match</x:v>
      </x:c>
      <x:c r="H21" s="26" t="str">
        <x:v>https://reseau-sante-haut-leman.ch/centres-medico-sociaux-cms-et-organisations-de-soins-a-domicile-privees-osad/</x:v>
      </x:c>
      <x:c r="I21" s="26" t="str">
        <x:v>Cross-cantonal office footprint; explicit Vaud coverage.</x:v>
      </x:c>
    </x:row>
    <x:row r="22">
      <x:c r="A22" s="26" t="str">
        <x:v>Senevita Casa Vaud</x:v>
      </x:c>
      <x:c r="B22" s="26" t="str">
        <x:v>Type 1 candidate</x:v>
      </x:c>
      <x:c r="C22" s="26" t="str">
        <x:v>Commercial/network</x:v>
      </x:c>
      <x:c r="D22" s="26" t="str">
        <x:v>HL / La Côte / Nord-Broye</x:v>
      </x:c>
      <x:c r="E22" s="26" t="str">
        <x:v>High</x:v>
      </x:c>
      <x:c r="F22" s="26" t="str">
        <x:v>Keep existing enriched Lia record</x:v>
      </x:c>
      <x:c r="G22" s="26" t="str">
        <x:v>senevita-vaud</x:v>
      </x:c>
      <x:c r="H22" s="26" t="str">
        <x:v>https://reseau-sante-haut-leman.ch/centres-medico-sociaux-cms-et-organisations-de-soins-a-domicile-privees-osad/</x:v>
      </x:c>
      <x:c r="I22" s="26" t="str">
        <x:v>Phase 5D pilot already enriched. Do not create duplicate.</x:v>
      </x:c>
    </x:row>
    <x:row r="23">
      <x:c r="A23" s="26" t="str">
        <x:v>Dovida</x:v>
      </x:c>
      <x:c r="B23" s="26" t="str">
        <x:v>Type 1 candidate</x:v>
      </x:c>
      <x:c r="C23" s="26" t="str">
        <x:v>Commercial/network</x:v>
      </x:c>
      <x:c r="D23" s="26" t="str">
        <x:v>HL / La Côte / Nord-Broye</x:v>
      </x:c>
      <x:c r="E23" s="26" t="str">
        <x:v>High</x:v>
      </x:c>
      <x:c r="F23" s="26" t="str">
        <x:v>Resolve held Lia identity then enrich</x:v>
      </x:c>
      <x:c r="G23" s="26" t="str">
        <x:v>Home Instead / Dovida legacy hold</x:v>
      </x:c>
      <x:c r="H23" s="26" t="str">
        <x:v>https://reseau-sante-haut-leman.ch/centres-medico-sociaux-cms-et-organisations-de-soins-a-domicile-privees-osad/</x:v>
      </x:c>
      <x:c r="I23" s="26" t="str">
        <x:v>Current brand; preserve historical Home Instead lineage.</x:v>
      </x:c>
    </x:row>
    <x:row r="24">
      <x:c r="A24" s="26" t="str">
        <x:v>Soins Riviera Sàrl</x:v>
      </x:c>
      <x:c r="B24" s="26" t="str">
        <x:v>Type 1 candidate</x:v>
      </x:c>
      <x:c r="C24" s="26" t="str">
        <x:v>Commercial/independent</x:v>
      </x:c>
      <x:c r="D24" s="26" t="str">
        <x:v>HL</x:v>
      </x:c>
      <x:c r="E24" s="26" t="str">
        <x:v>High</x:v>
      </x:c>
      <x:c r="F24" s="26" t="str">
        <x:v>New Lia listing candidate</x:v>
      </x:c>
      <x:c r="G24" s="26" t="str">
        <x:v>No known Lia match</x:v>
      </x:c>
      <x:c r="H24" s="26" t="str">
        <x:v>https://reseau-sante-haut-leman.ch/centres-medico-sociaux-cms-et-organisations-de-soins-a-domicile-privees-osad/</x:v>
      </x:c>
      <x:c r="I24" s="26" t="str">
        <x:v>Riviera/East Vaud current evidence.</x:v>
      </x:c>
    </x:row>
    <x:row r="25">
      <x:c r="A25" s="26" t="str">
        <x:v>Swiss Agi San Sàrl</x:v>
      </x:c>
      <x:c r="B25" s="26" t="str">
        <x:v>Type 1 candidate</x:v>
      </x:c>
      <x:c r="C25" s="26" t="str">
        <x:v>Commercial/independent</x:v>
      </x:c>
      <x:c r="D25" s="26" t="str">
        <x:v>HL</x:v>
      </x:c>
      <x:c r="E25" s="26" t="str">
        <x:v>High</x:v>
      </x:c>
      <x:c r="F25" s="26" t="str">
        <x:v>New Lia listing candidate</x:v>
      </x:c>
      <x:c r="G25" s="26" t="str">
        <x:v>No known Lia match</x:v>
      </x:c>
      <x:c r="H25" s="26" t="str">
        <x:v>https://reseau-sante-haut-leman.ch/centres-medico-sociaux-cms-et-organisations-de-soins-a-domicile-privees-osad/</x:v>
      </x:c>
      <x:c r="I25" s="26" t="str">
        <x:v>Current network evidence across multiple zones.</x:v>
      </x:c>
    </x:row>
    <x:row r="26">
      <x:c r="A26" s="26" t="str">
        <x:v>Swisscaring Vaud Sàrl</x:v>
      </x:c>
      <x:c r="B26" s="26" t="str">
        <x:v>Type 1 candidate</x:v>
      </x:c>
      <x:c r="C26" s="26" t="str">
        <x:v>Commercial/independent</x:v>
      </x:c>
      <x:c r="D26" s="26" t="str">
        <x:v>HL / La Côte / Nord-Broye</x:v>
      </x:c>
      <x:c r="E26" s="26" t="str">
        <x:v>High</x:v>
      </x:c>
      <x:c r="F26" s="26" t="str">
        <x:v>New Lia listing candidate</x:v>
      </x:c>
      <x:c r="G26" s="26" t="str">
        <x:v>No known Lia match</x:v>
      </x:c>
      <x:c r="H26" s="26" t="str">
        <x:v>https://reseau-sante-haut-leman.ch/centres-medico-sociaux-cms-et-organisations-de-soins-a-domicile-privees-osad/</x:v>
      </x:c>
      <x:c r="I26" s="26" t="str">
        <x:v>Provider site also states Vaud authorization.</x:v>
      </x:c>
    </x:row>
    <x:row r="27">
      <x:c r="A27" s="26" t="str">
        <x:v>Vivràdom Sàrl</x:v>
      </x:c>
      <x:c r="B27" s="26" t="str">
        <x:v>Type 1 candidate</x:v>
      </x:c>
      <x:c r="C27" s="26" t="str">
        <x:v>Commercial/network</x:v>
      </x:c>
      <x:c r="D27" s="26" t="str">
        <x:v>HL / La Côte / Nord-Broye</x:v>
      </x:c>
      <x:c r="E27" s="26" t="str">
        <x:v>High</x:v>
      </x:c>
      <x:c r="F27" s="26" t="str">
        <x:v>New Lia listing candidate</x:v>
      </x:c>
      <x:c r="G27" s="26" t="str">
        <x:v>No known Lia match</x:v>
      </x:c>
      <x:c r="H27" s="26" t="str">
        <x:v>https://reseau-sante-haut-leman.ch/centres-medico-sociaux-cms-et-organisations-de-soins-a-domicile-privees-osad/</x:v>
      </x:c>
      <x:c r="I27" s="26" t="str">
        <x:v>Current brand has Renens and Orbe sites; keep separate from legal JNV entity until relationship modeled.</x:v>
      </x:c>
    </x:row>
    <x:row r="28">
      <x:c r="A28" s="26" t="str">
        <x:v>Sciensus AG</x:v>
      </x:c>
      <x:c r="B28" s="26" t="str">
        <x:v>Type 1 candidate</x:v>
      </x:c>
      <x:c r="C28" s="26" t="str">
        <x:v>Specialist/national</x:v>
      </x:c>
      <x:c r="D28" s="26" t="str">
        <x:v>HL / La Côte (old HTHC name)</x:v>
      </x:c>
      <x:c r="E28" s="26" t="str">
        <x:v>High</x:v>
      </x:c>
      <x:c r="F28" s="26" t="str">
        <x:v>New specialist listing candidate</x:v>
      </x:c>
      <x:c r="G28" s="26" t="str">
        <x:v>No known Lia match</x:v>
      </x:c>
      <x:c r="H28" s="26" t="str">
        <x:v>https://reseau-sante-haut-leman.ch/centres-medico-sociaux-cms-et-organisations-de-soins-a-domicile-privees-osad/</x:v>
      </x:c>
      <x:c r="I28" s="26" t="str">
        <x:v>HTHC High Tech Home Care AG renamed Sciensus AG in 2024; dedupe under current identity.</x:v>
      </x:c>
    </x:row>
    <x:row r="29">
      <x:c r="A29" s="26" t="str">
        <x:v>AMAD Homecare SA</x:v>
      </x:c>
      <x:c r="B29" s="26" t="str">
        <x:v>Type 1 candidate</x:v>
      </x:c>
      <x:c r="C29" s="26" t="str">
        <x:v>Commercial/network</x:v>
      </x:c>
      <x:c r="D29" s="26" t="str">
        <x:v>La Côte / Nord-Broye</x:v>
      </x:c>
      <x:c r="E29" s="26" t="str">
        <x:v>High</x:v>
      </x:c>
      <x:c r="F29" s="26" t="str">
        <x:v>Identity resolution before listing</x:v>
      </x:c>
      <x:c r="G29" s="26" t="str">
        <x:v>No known Lia match</x:v>
      </x:c>
      <x:c r="H29" s="26" t="str">
        <x:v>https://reseau-sante-lacote.ch/membres-affilies/</x:v>
      </x:c>
      <x:c r="I29" s="26" t="str">
        <x:v>Active Lutry entity; brand site also shows Yverdon and Nyon locations.</x:v>
      </x:c>
    </x:row>
    <x:row r="30">
      <x:c r="A30" s="26" t="str">
        <x:v>Hygie-Soins Sàrl</x:v>
      </x:c>
      <x:c r="B30" s="26" t="str">
        <x:v>Type 1 candidate</x:v>
      </x:c>
      <x:c r="C30" s="26" t="str">
        <x:v>Commercial/independent</x:v>
      </x:c>
      <x:c r="D30" s="26" t="str">
        <x:v>La Côte / Nord-Broye</x:v>
      </x:c>
      <x:c r="E30" s="26" t="str">
        <x:v>High</x:v>
      </x:c>
      <x:c r="F30" s="26" t="str">
        <x:v>New Lia listing candidate</x:v>
      </x:c>
      <x:c r="G30" s="26" t="str">
        <x:v>No known Lia match</x:v>
      </x:c>
      <x:c r="H30" s="26" t="str">
        <x:v>https://reseau-sante-lacote.ch/membres-affilies/</x:v>
      </x:c>
      <x:c r="I30" s="26" t="str">
        <x:v>Current regional evidence.</x:v>
      </x:c>
    </x:row>
    <x:row r="31">
      <x:c r="A31" s="26" t="str">
        <x:v>Le Levant OSAD</x:v>
      </x:c>
      <x:c r="B31" s="26" t="str">
        <x:v>Type 1 candidate</x:v>
      </x:c>
      <x:c r="C31" s="26" t="str">
        <x:v>Institution-linked/specialist</x:v>
      </x:c>
      <x:c r="D31" s="26" t="str">
        <x:v>La Côte</x:v>
      </x:c>
      <x:c r="E31" s="26" t="str">
        <x:v>High</x:v>
      </x:c>
      <x:c r="F31" s="26" t="str">
        <x:v>Offering-level research before listing</x:v>
      </x:c>
      <x:c r="G31" s="26" t="str">
        <x:v>No known Lia match</x:v>
      </x:c>
      <x:c r="H31" s="26" t="str">
        <x:v>https://reseau-sante-lacote.ch/membres-affilies/</x:v>
      </x:c>
      <x:c r="I31" s="26" t="str">
        <x:v>Type-1 evidence; likely specialist/institution-linked—research services first.</x:v>
      </x:c>
    </x:row>
    <x:row r="32">
      <x:c r="A32" s="26" t="str">
        <x:v>Nurse Home Care Sàrl</x:v>
      </x:c>
      <x:c r="B32" s="26" t="str">
        <x:v>Type 1 candidate</x:v>
      </x:c>
      <x:c r="C32" s="26" t="str">
        <x:v>Commercial/independent</x:v>
      </x:c>
      <x:c r="D32" s="26" t="str">
        <x:v>La Côte</x:v>
      </x:c>
      <x:c r="E32" s="26" t="str">
        <x:v>High</x:v>
      </x:c>
      <x:c r="F32" s="26" t="str">
        <x:v>New Lia listing candidate</x:v>
      </x:c>
      <x:c r="G32" s="26" t="str">
        <x:v>No known Lia match</x:v>
      </x:c>
      <x:c r="H32" s="26" t="str">
        <x:v>https://reseau-sante-lacote.ch/membres-affilies/</x:v>
      </x:c>
      <x:c r="I32" s="26" t="str">
        <x:v>Current Type-1 evidence.</x:v>
      </x:c>
    </x:row>
    <x:row r="33">
      <x:c r="A33" s="26" t="str">
        <x:v>Sitex SA</x:v>
      </x:c>
      <x:c r="B33" s="26" t="str">
        <x:v>Type 1 candidate</x:v>
      </x:c>
      <x:c r="C33" s="26" t="str">
        <x:v>Specialist/national</x:v>
      </x:c>
      <x:c r="D33" s="26" t="str">
        <x:v>La Côte</x:v>
      </x:c>
      <x:c r="E33" s="26" t="str">
        <x:v>High</x:v>
      </x:c>
      <x:c r="F33" s="26" t="str">
        <x:v>New specialist listing candidate</x:v>
      </x:c>
      <x:c r="G33" s="26" t="str">
        <x:v>No known Lia match</x:v>
      </x:c>
      <x:c r="H33" s="26" t="str">
        <x:v>https://reseau-sante-lacote.ch/membres-affilies/</x:v>
      </x:c>
      <x:c r="I33" s="26" t="str">
        <x:v>Geneva office; Type-1 Vaud network evidence.</x:v>
      </x:c>
    </x:row>
    <x:row r="34">
      <x:c r="A34" s="26" t="str">
        <x:v>Soinsvaud</x:v>
      </x:c>
      <x:c r="B34" s="26" t="str">
        <x:v>Type 1 candidate</x:v>
      </x:c>
      <x:c r="C34" s="26" t="str">
        <x:v>Commercial/independent</x:v>
      </x:c>
      <x:c r="D34" s="26" t="str">
        <x:v>La Côte</x:v>
      </x:c>
      <x:c r="E34" s="26" t="str">
        <x:v>High</x:v>
      </x:c>
      <x:c r="F34" s="26" t="str">
        <x:v>Identity/legal resolution then listing</x:v>
      </x:c>
      <x:c r="G34" s="26" t="str">
        <x:v>No known Lia match</x:v>
      </x:c>
      <x:c r="H34" s="26" t="str">
        <x:v>https://reseau-sante-lacote.ch/membres-affilies/</x:v>
      </x:c>
      <x:c r="I34" s="26" t="str">
        <x:v>Current Type-1 evidence; legal entity not yet resolved.</x:v>
      </x:c>
    </x:row>
    <x:row r="35">
      <x:c r="A35" s="26" t="str">
        <x:v>Val'Soins</x:v>
      </x:c>
      <x:c r="B35" s="26" t="str">
        <x:v>Private OSAD candidate</x:v>
      </x:c>
      <x:c r="C35" s="26" t="str">
        <x:v>Regional specialist/generalist</x:v>
      </x:c>
      <x:c r="D35" s="26" t="str">
        <x:v>Nord-Broye</x:v>
      </x:c>
      <x:c r="E35" s="26" t="str">
        <x:v>High</x:v>
      </x:c>
      <x:c r="F35" s="26" t="str">
        <x:v>New Lia listing candidate</x:v>
      </x:c>
      <x:c r="G35" s="26" t="str">
        <x:v>No known Lia match</x:v>
      </x:c>
      <x:c r="H35" s="26" t="str">
        <x:v>https://reseau-sante-nord-broye.ch/wp-content/uploads/sites/3/2026/04/Aide-et-soins-a-domicile_public.pdf</x:v>
      </x:c>
      <x:c r="I35" s="26" t="str">
        <x:v>Current 20.04.2026 Nord-Broye private OSAD list.</x:v>
      </x:c>
    </x:row>
    <x:row r="36">
      <x:c r="A36" s="26" t="str">
        <x:v>Vivràdom Jura Nord Vaudois Sàrl</x:v>
      </x:c>
      <x:c r="B36" s="26" t="str">
        <x:v>Private OSAD candidate</x:v>
      </x:c>
      <x:c r="C36" s="26" t="str">
        <x:v>Commercial/network</x:v>
      </x:c>
      <x:c r="D36" s="26" t="str">
        <x:v>Nord-Broye</x:v>
      </x:c>
      <x:c r="E36" s="26" t="str">
        <x:v>High</x:v>
      </x:c>
      <x:c r="F36" s="26" t="str">
        <x:v>Separate legal listing or site relationship review</x:v>
      </x:c>
      <x:c r="G36" s="26" t="str">
        <x:v>No known Lia match</x:v>
      </x:c>
      <x:c r="H36" s="26" t="str">
        <x:v>https://reseau-sante-nord-broye.ch/wp-content/uploads/sites/3/2026/04/Aide-et-soins-a-domicile_public.pdf</x:v>
      </x:c>
      <x:c r="I36" s="26" t="str">
        <x:v>Separate active legal entity in Orbe; same Vivràdom brand ecosystem.</x:v>
      </x:c>
    </x:row>
    <x:row r="37">
      <x:c r="A37" s="26" t="str">
        <x:v>AMAD Homecare La Côte SA</x:v>
      </x:c>
      <x:c r="B37" s="26" t="str">
        <x:v>Current legal/provider candidate</x:v>
      </x:c>
      <x:c r="C37" s="26" t="str">
        <x:v>Commercial/network</x:v>
      </x:c>
      <x:c r="D37" s="26" t="str">
        <x:v>AMAD brand / registry</x:v>
      </x:c>
      <x:c r="E37" s="26" t="str">
        <x:v>Medium-High</x:v>
      </x:c>
      <x:c r="F37" s="26" t="str">
        <x:v>Identity resolution with AMAD Homecare SA</x:v>
      </x:c>
      <x:c r="G37" s="26" t="str">
        <x:v>No known Lia match</x:v>
      </x:c>
      <x:c r="H37" s="26" t="str">
        <x:v>https://amad-vaud.ch/contact/</x:v>
      </x:c>
      <x:c r="I37" s="26" t="str">
        <x:v>Created as Qualis Vita La Côte SA in 2025 then renamed AMAD Homecare La Côte SA; do not confuse with historical Qualis Vita Ouest SA.</x:v>
      </x:c>
    </x:row>
  </x:sheetData>
  <x:mergeCells>
    <x:mergeCell ref="A1:I1"/>
    <x:mergeCell ref="A2:I2"/>
  </x:mergeCells>
  <x:conditionalFormatting sqref="E5:E37">
    <x:cfRule type="expression" dxfId="0" priority="1">
      <x:formula>E5="High"</x:formula>
    </x:cfRule>
    <x:cfRule type="expression" dxfId="1" priority="2">
      <x:formula>E5="Medium-High"</x:formula>
    </x:cfRule>
  </x:conditionalFormatting>
  <x:conditionalFormatting sqref="G5:G37">
    <x:cfRule type="expression" dxfId="2" priority="3">
      <x:formula>G5&lt;&gt;"No known Lia match"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2c74603d154b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8" hidden="0" customWidth="1"/>
    <x:col min="4" max="4" width="50" hidden="0" customWidth="1"/>
    <x:col min="5" max="5" width="50" hidden="0" customWidth="1"/>
    <x:col min="6" max="6" width="50" hidden="0" customWidth="1"/>
  </x:cols>
  <x:sheetData>
    <x:row r="1" ht="30" customHeight="1">
      <x:c r="A1" s="4" t="str">
        <x:v>Identity, Status &amp; Source Conflicts</x:v>
      </x:c>
      <x:c r="B1" s="4"/>
      <x:c r="C1" s="4"/>
      <x:c r="D1" s="4"/>
      <x:c r="E1" s="4"/>
      <x:c r="F1" s="4"/>
    </x:row>
    <x:row r="2" ht="34" customHeight="1">
      <x:c r="A2" s="10" t="str">
        <x:v>These are the rows most likely to create duplicate, stale or misleading Lia listings if handled carelessly.</x:v>
      </x:c>
      <x:c r="B2" s="10"/>
      <x:c r="C2" s="10"/>
      <x:c r="D2" s="10"/>
      <x:c r="E2" s="10"/>
      <x:c r="F2" s="10"/>
    </x:row>
    <x:row r="4" ht="28" customHeight="1">
      <x:c r="A4" s="18" t="str">
        <x:v>Entity / issue</x:v>
      </x:c>
      <x:c r="B4" s="18" t="str">
        <x:v>Issue type</x:v>
      </x:c>
      <x:c r="C4" s="18" t="str">
        <x:v>What current research says</x:v>
      </x:c>
      <x:c r="D4" s="18" t="str">
        <x:v>Recommended Lia treatment</x:v>
      </x:c>
      <x:c r="E4" s="18" t="str">
        <x:v>Source 1</x:v>
      </x:c>
      <x:c r="F4" s="18" t="str">
        <x:v>Source 2</x:v>
      </x:c>
    </x:row>
    <x:row r="5">
      <x:c r="A5" s="26" t="str">
        <x:v>AVASAD/CMS count</x:v>
      </x:c>
      <x:c r="B5" s="26" t="str">
        <x:v>Source conflict</x:v>
      </x:c>
      <x:c r="C5" s="26" t="str">
        <x:v>Current AVASAD site says 50 CMS; Canton page still says 49 and was last updated 2024.</x:v>
      </x:c>
      <x:c r="D5" s="26" t="str">
        <x:v>Use 50 as operational current baseline; retain 49 as stale historical source.</x:v>
      </x:c>
      <x:c r="E5" s="26" t="str">
        <x:v>https://www.cms-vaud.ch/organisation-du-dispositif/</x:v>
      </x:c>
      <x:c r="F5" s="26" t="str">
        <x:v>https://www.vd.ch/sante-soins-et-handicap/vivre-a-domicile/aide-a-domicile</x:v>
      </x:c>
    </x:row>
    <x:row r="6">
      <x:c r="A6" s="26" t="str">
        <x:v>FSL CMS count</x:v>
      </x:c>
      <x:c r="B6" s="26" t="str">
        <x:v>Source conflict</x:v>
      </x:c>
      <x:c r="C6" s="26" t="str">
        <x:v>FSL CMS page says seven but lists eight; 2025 annual-report news explicitly says 8 CMS.</x:v>
      </x:c>
      <x:c r="D6" s="26" t="str">
        <x:v>Model 8 current CMS; flag stale prose.</x:v>
      </x:c>
      <x:c r="E6" s="26" t="str">
        <x:v>https://www.cms-vaud.ch/fondationsoinslausanne/centres-medico-sociaux-2/</x:v>
      </x:c>
      <x:c r="F6" s="26" t="str">
        <x:v>https://www.cms-vaud.ch/le-rapport-annuel-2025-de-la-fondation-soins-lausanne-est-disponible/</x:v>
      </x:c>
    </x:row>
    <x:row r="7">
      <x:c r="A7" s="26" t="str">
        <x:v>ASPMAD Yverdon</x:v>
      </x:c>
      <x:c r="B7" s="26" t="str">
        <x:v>Structural change/stale source</x:v>
      </x:c>
      <x:c r="C7" s="26" t="str">
        <x:v>Current CMS page lists one CMS Yverdon; older/CCT material shows Yverdon Est/Ouest.</x:v>
      </x:c>
      <x:c r="D7" s="26" t="str">
        <x:v>Treat current public directory as one patient-facing CMS pending Phase 5F structural check.</x:v>
      </x:c>
      <x:c r="E7" s="26" t="str">
        <x:v>https://www.cms-vaud.ch/aspmad/centres-medico-sociaux-8/</x:v>
      </x:c>
      <x:c r="F7" s="26" t="str">
        <x:v>https://www.cctsan-vaud.ch/convention-collective-de-travail/entites-soumises-a-la-cct/</x:v>
      </x:c>
    </x:row>
    <x:row r="8">
      <x:c r="A8" s="26" t="str">
        <x:v>HTHC High Tech Home Care AG</x:v>
      </x:c>
      <x:c r="B8" s="26" t="str">
        <x:v>Historical name</x:v>
      </x:c>
      <x:c r="C8" s="26" t="str">
        <x:v>Renamed Sciensus AG in April 2024.</x:v>
      </x:c>
      <x:c r="D8" s="26" t="str">
        <x:v>Canonical current identity = Sciensus AG; preserve HTHC as alias/historical name.</x:v>
      </x:c>
      <x:c r="E8" s="26" t="str">
        <x:v>https://www.moneyhouse.ch/en/company/sciensus-ag-21386903661</x:v>
      </x:c>
      <x:c r="F8" s="26" t="str">
        <x:v>https://reseau-sante-haut-leman.ch/centres-medico-sociaux-cms-et-organisations-de-soins-a-domicile-privees-osad/</x:v>
      </x:c>
    </x:row>
    <x:row r="9">
      <x:c r="A9" s="26" t="str">
        <x:v>Qualis Vita Ouest SA</x:v>
      </x:c>
      <x:c r="B9" s="26" t="str">
        <x:v>Historical/superseded</x:v>
      </x:c>
      <x:c r="C9" s="26" t="str">
        <x:v>Entity CHE-220.243.297 was merged into Qualis Vita AG in 2023 and struck off; La Côte page still lists it.</x:v>
      </x:c>
      <x:c r="D9" s="26" t="str">
        <x:v>Do not create as active listing; preserve historical evidence only.</x:v>
      </x:c>
      <x:c r="E9" s="26" t="str">
        <x:v>https://business-monitor.ch/fr/companies/991413-qualis-vita-ouest-sa</x:v>
      </x:c>
      <x:c r="F9" s="26" t="str">
        <x:v>https://reseau-sante-lacote.ch/membres-affilies/</x:v>
      </x:c>
    </x:row>
    <x:row r="10">
      <x:c r="A10" s="26" t="str">
        <x:v>AMAD Homecare La Côte SA</x:v>
      </x:c>
      <x:c r="B10" s="26" t="str">
        <x:v>Identity transition</x:v>
      </x:c>
      <x:c r="C10" s="26" t="str">
        <x:v>Different entity from Qualis Vita Ouest. It was Qualis Vita La Côte SA (CHE-179.178.928) then renamed in Aug 2025.</x:v>
      </x:c>
      <x:c r="D10" s="26" t="str">
        <x:v>Resolve whether Nyon AMAD patient-facing operation maps here, AMAD Homecare SA, or both before creation.</x:v>
      </x:c>
      <x:c r="E10" s="26" t="str">
        <x:v>https://www.faovd.ch/registre-commerce/?page=71</x:v>
      </x:c>
      <x:c r="F10" s="26" t="str">
        <x:v>https://amad-vaud.ch/contact/</x:v>
      </x:c>
    </x:row>
    <x:row r="11">
      <x:c r="A11" s="26" t="str">
        <x:v>Asadom Sàrl</x:v>
      </x:c>
      <x:c r="B11" s="26" t="str">
        <x:v>Closed</x:v>
      </x:c>
      <x:c r="C11" s="26" t="str">
        <x:v>Bankrupt May 2025; deleted Dec 2025.</x:v>
      </x:c>
      <x:c r="D11" s="26" t="str">
        <x:v>Historical/out-of-scope; do not create active listing.</x:v>
      </x:c>
      <x:c r="E11" s="26" t="str">
        <x:v>https://www.faovd.ch/registre-commerce/?page=413</x:v>
      </x:c>
      <x:c r="F11" s="26" t="str">
        <x:v>https://www.reseau-sante-region-lausanne.ch/membres-associes/</x:v>
      </x:c>
    </x:row>
    <x:row r="12">
      <x:c r="A12" s="26" t="str">
        <x:v>ASBE Accompagnement santé bien-être Sàrl</x:v>
      </x:c>
      <x:c r="B12" s="26" t="str">
        <x:v>Closed/bankrupt</x:v>
      </x:c>
      <x:c r="C12" s="26" t="str">
        <x:v>Bankruptcy declared March 2024; still appears in Lausanne network member material.</x:v>
      </x:c>
      <x:c r="D12" s="26" t="str">
        <x:v>Historical/out-of-scope unless a successor is found.</x:v>
      </x:c>
      <x:c r="E12" s="26" t="str">
        <x:v>https://www.faovd.ch/registre-commerce/?page=1241</x:v>
      </x:c>
      <x:c r="F12" s="26" t="str">
        <x:v>https://www.reseau-sante-region-lausanne.ch/membres-associes/</x:v>
      </x:c>
    </x:row>
    <x:row r="13">
      <x:c r="A13" s="26" t="str">
        <x:v>OSADEX SA</x:v>
      </x:c>
      <x:c r="B13" s="26" t="str">
        <x:v>Bankrupt</x:v>
      </x:c>
      <x:c r="C13" s="26" t="str">
        <x:v>Bankruptcy pronounced 30 March 2026 after moving seat to Fribourg.</x:v>
      </x:c>
      <x:c r="D13" s="26" t="str">
        <x:v>Do not treat Lausanne-network listing as active current Vaud OSAD.</x:v>
      </x:c>
      <x:c r="E13" s="26" t="str">
        <x:v>https://www.moneyhouse.ch/en/company/osadex-sa-10004222481</x:v>
      </x:c>
      <x:c r="F13" s="26" t="str">
        <x:v>https://www.reseau-sante-region-lausanne.ch/membres-associes/</x:v>
      </x:c>
    </x:row>
    <x:row r="14">
      <x:c r="A14" s="26" t="str">
        <x:v>Permed Spitex AG — Agence Vaud</x:v>
      </x:c>
      <x:c r="B14" s="26" t="str">
        <x:v>Active candidate needing authorization reconciliation</x:v>
      </x:c>
      <x:c r="C14" s="26" t="str">
        <x:v>Provider currently operates a Vaud agency, but it is absent from the 20.04.2026 Nord-Broye OSAD list where it had appeared in 2024 material.</x:v>
      </x:c>
      <x:c r="D14" s="26" t="str">
        <x:v>Keep candidate; reconcile against Canton 03.03.2026 OSAD Excel before listing.</x:v>
      </x:c>
      <x:c r="E14" s="26" t="str">
        <x:v>https://permed.ch/permed</x:v>
      </x:c>
      <x:c r="F14" s="26" t="str">
        <x:v>https://reseau-sante-nord-broye.ch/wp-content/uploads/sites/3/2026/04/Aide-et-soins-a-domicile_public.pdf</x:v>
      </x:c>
    </x:row>
    <x:row r="15">
      <x:c r="A15" s="26" t="str">
        <x:v>Méditrine SA</x:v>
      </x:c>
      <x:c r="B15" s="26" t="str">
        <x:v>Unresolved/stale candidate</x:v>
      </x:c>
      <x:c r="C15" s="26" t="str">
        <x:v>Appeared in 2025 Nord-Broye private OSAD list but is absent from the 20.04.2026 version.</x:v>
      </x:c>
      <x:c r="D15" s="26" t="str">
        <x:v>Research current authorization/operating status before any listing.</x:v>
      </x:c>
      <x:c r="E15" s="26" t="str">
        <x:v>https://reseau-sante-nord-broye.ch/wp-content/uploads/sites/3/2025/08/Aide-et-soins-a-domicile-public-08.2025.pdf</x:v>
      </x:c>
      <x:c r="F15" s="26" t="str">
        <x:v>https://reseau-sante-nord-broye.ch/wp-content/uploads/sites/3/2026/04/Aide-et-soins-a-domicile_public.pdf</x:v>
      </x:c>
    </x:row>
    <x:row r="16">
      <x:c r="A16" s="26" t="str">
        <x:v>Domi.Syl SA</x:v>
      </x:c>
      <x:c r="B16" s="26" t="str">
        <x:v>Other/specialist OSAD</x:v>
      </x:c>
      <x:c r="C16" s="26" t="str">
        <x:v>Current CCT list labels it OSAD privée; statutory purpose is psychiatric home support.</x:v>
      </x:c>
      <x:c r="D16" s="26" t="str">
        <x:v>Keep separate specialist bucket; research authorization type and consumer suitability.</x:v>
      </x:c>
      <x:c r="E16" s="26" t="str">
        <x:v>https://www.cctsan-vaud.ch/convention-collective-de-travail/entites-soumises-a-la-cct/</x:v>
      </x:c>
      <x:c r="F16" s="26" t="str">
        <x:v>https://altage.ch/</x:v>
      </x:c>
    </x:row>
    <x:row r="17">
      <x:c r="A17" s="26" t="str">
        <x:v>1 Monde PatientS, société coopérative</x:v>
      </x:c>
      <x:c r="B17" s="26" t="str">
        <x:v>Other/current candidate</x:v>
      </x:c>
      <x:c r="C17" s="26" t="str">
        <x:v>Current CCT list labels OSAD privée and provider site describes a local care cooperative.</x:v>
      </x:c>
      <x:c r="D17" s="26" t="str">
        <x:v>Authorization type not yet established from regional Type-1 lists; keep unresolved candidate.</x:v>
      </x:c>
      <x:c r="E17" s="26" t="str">
        <x:v>https://www.cctsan-vaud.ch/convention-collective-de-travail/entites-soumises-a-la-cct/</x:v>
      </x:c>
      <x:c r="F17" s="26" t="str">
        <x:v>https://1mp.ch/contactez-nous/</x:v>
      </x:c>
    </x:row>
  </x:sheetData>
  <x:mergeCells>
    <x:mergeCell ref="A1:F1"/>
    <x:mergeCell ref="A2:F2"/>
  </x:mergeCells>
  <x:conditionalFormatting sqref="B5:B17">
    <x:cfRule type="expression" dxfId="3" priority="1">
      <x:formula>OR(ISNUMBER(SEARCH("Closed",B5)),ISNUMBER(SEARCH("Bankrupt",B5)))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5fdc0fec2b40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26" hidden="0" customWidth="1"/>
    <x:col min="4" max="4" width="34" hidden="0" customWidth="1"/>
    <x:col min="5" max="5" width="45" hidden="0" customWidth="1"/>
    <x:col min="6" max="6" width="52" hidden="0" customWidth="1"/>
  </x:cols>
  <x:sheetData>
    <x:row r="1" ht="30" customHeight="1">
      <x:c r="A1" s="4" t="str">
        <x:v>Institutional / Type-2 / SSJN / Other OSAD</x:v>
      </x:c>
      <x:c r="B1" s="4"/>
      <x:c r="C1" s="4"/>
      <x:c r="D1" s="4"/>
      <x:c r="E1" s="4"/>
      <x:c r="F1" s="4"/>
    </x:row>
    <x:row r="2" ht="34" customHeight="1">
      <x:c r="A2" s="10" t="str">
        <x:v>Keep these separate from the ordinary Type-1 home-care marketplace until authorization type and patient-facing role are clear.</x:v>
      </x:c>
      <x:c r="B2" s="10"/>
      <x:c r="C2" s="10"/>
      <x:c r="D2" s="10"/>
      <x:c r="E2" s="10"/>
      <x:c r="F2" s="10"/>
    </x:row>
    <x:row r="4" ht="28" customHeight="1">
      <x:c r="A4" s="18" t="str">
        <x:v>Name</x:v>
      </x:c>
      <x:c r="B4" s="18" t="str">
        <x:v>Known / suspected class</x:v>
      </x:c>
      <x:c r="C4" s="18" t="str">
        <x:v>Profile</x:v>
      </x:c>
      <x:c r="D4" s="18" t="str">
        <x:v>Evidence</x:v>
      </x:c>
      <x:c r="E4" s="18" t="str">
        <x:v>Recommended treatment</x:v>
      </x:c>
      <x:c r="F4" s="18" t="str">
        <x:v>Source URL</x:v>
      </x:c>
    </x:row>
    <x:row r="5">
      <x:c r="A5" s="26" t="str">
        <x:v>Adlibit'Home SA</x:v>
      </x:c>
      <x:c r="B5" s="26" t="str">
        <x:v>OSAD 2</x:v>
      </x:c>
      <x:c r="C5" s="26" t="str">
        <x:v>Institutional/other</x:v>
      </x:c>
      <x:c r="D5" s="26" t="str">
        <x:v>La Côte explicitly marks OSAD 2</x:v>
      </x:c>
      <x:c r="E5" s="26" t="str">
        <x:v>Separate from normal Type-1 marketplace flow</x:v>
      </x:c>
      <x:c r="F5" s="26" t="str">
        <x:v>https://reseau-sante-lacote.ch/membres-affilies/</x:v>
      </x:c>
    </x:row>
    <x:row r="6">
      <x:c r="A6" s="26" t="str">
        <x:v>Diabètevaud</x:v>
      </x:c>
      <x:c r="B6" s="26" t="str">
        <x:v>OSAD 2</x:v>
      </x:c>
      <x:c r="C6" s="26" t="str">
        <x:v>Specialist</x:v>
      </x:c>
      <x:c r="D6" s="26" t="str">
        <x:v>La Côte explicitly marks OSAD 2</x:v>
      </x:c>
      <x:c r="E6" s="26" t="str">
        <x:v>Specialist/institutional treatment</x:v>
      </x:c>
      <x:c r="F6" s="26" t="str">
        <x:v>https://reseau-sante-lacote.ch/membres-affilies/</x:v>
      </x:c>
    </x:row>
    <x:row r="7">
      <x:c r="A7" s="26" t="str">
        <x:v>Home Med Sàrl</x:v>
      </x:c>
      <x:c r="B7" s="26" t="str">
        <x:v>OSAD 2 + SSJN</x:v>
      </x:c>
      <x:c r="C7" s="26" t="str">
        <x:v>Institutional/other</x:v>
      </x:c>
      <x:c r="D7" s="26" t="str">
        <x:v>La Côte explicitly marks OSAD 2 and SSJN</x:v>
      </x:c>
      <x:c r="E7" s="26" t="str">
        <x:v>Separate search/filter class</x:v>
      </x:c>
      <x:c r="F7" s="26" t="str">
        <x:v>https://reseau-sante-lacote.ch/membres-affilies/</x:v>
      </x:c>
    </x:row>
    <x:row r="8">
      <x:c r="A8" s="26" t="str">
        <x:v>Fondation Pro-Home</x:v>
      </x:c>
      <x:c r="B8" s="26" t="str">
        <x:v>OSAD 2 + SSJN</x:v>
      </x:c>
      <x:c r="C8" s="26" t="str">
        <x:v>Institutional/other</x:v>
      </x:c>
      <x:c r="D8" s="26" t="str">
        <x:v>La Côte explicitly marks OSAD 2 and SSJN</x:v>
      </x:c>
      <x:c r="E8" s="26" t="str">
        <x:v>Separate institutional class</x:v>
      </x:c>
      <x:c r="F8" s="26" t="str">
        <x:v>https://reseau-sante-lacote.ch/membres-affilies/</x:v>
      </x:c>
    </x:row>
    <x:row r="9">
      <x:c r="A9" s="26" t="str">
        <x:v>Tertianum Résidence La Gottaz</x:v>
      </x:c>
      <x:c r="B9" s="26" t="str">
        <x:v>SSJN</x:v>
      </x:c>
      <x:c r="C9" s="26" t="str">
        <x:v>Institutional</x:v>
      </x:c>
      <x:c r="D9" s="26" t="str">
        <x:v>La Côte explicitly marks SSJN</x:v>
      </x:c>
      <x:c r="E9" s="26" t="str">
        <x:v>Do not present as ordinary home-care Type 1</x:v>
      </x:c>
      <x:c r="F9" s="26" t="str">
        <x:v>https://reseau-sante-lacote.ch/membres-affilies/</x:v>
      </x:c>
    </x:row>
    <x:row r="10">
      <x:c r="A10" s="26" t="str">
        <x:v>Domaine de La Gracieuse – Le Parc SA</x:v>
      </x:c>
      <x:c r="B10" s="26" t="str">
        <x:v>OSAD 2</x:v>
      </x:c>
      <x:c r="C10" s="26" t="str">
        <x:v>Institutional</x:v>
      </x:c>
      <x:c r="D10" s="26" t="str">
        <x:v>La Côte explicitly marks OSAD 2</x:v>
      </x:c>
      <x:c r="E10" s="26" t="str">
        <x:v>Do not present as ordinary home-care Type 1</x:v>
      </x:c>
      <x:c r="F10" s="26" t="str">
        <x:v>https://reseau-sante-lacote.ch/membres-affilies/</x:v>
      </x:c>
    </x:row>
    <x:row r="11">
      <x:c r="A11" s="26" t="str">
        <x:v>Fondation Champ-Fleuri</x:v>
      </x:c>
      <x:c r="B11" s="26" t="str">
        <x:v>OSAD privée — type unresolved</x:v>
      </x:c>
      <x:c r="C11" s="26" t="str">
        <x:v>Institution-linked</x:v>
      </x:c>
      <x:c r="D11" s="26" t="str">
        <x:v>Current CCT list</x:v>
      </x:c>
      <x:c r="E11" s="26" t="str">
        <x:v>Research authorization type before marketplace inclusion</x:v>
      </x:c>
      <x:c r="F11" s="26" t="str">
        <x:v>https://www.cctsan-vaud.ch/convention-collective-de-travail/entites-soumises-a-la-cct/</x:v>
      </x:c>
    </x:row>
    <x:row r="12">
      <x:c r="A12" s="26" t="str">
        <x:v>Foyer Agapê / Le Home Combier Sàrl</x:v>
      </x:c>
      <x:c r="B12" s="26" t="str">
        <x:v>OSAD privée — type unresolved</x:v>
      </x:c>
      <x:c r="C12" s="26" t="str">
        <x:v>Institution-linked</x:v>
      </x:c>
      <x:c r="D12" s="26" t="str">
        <x:v>Current CCT list</x:v>
      </x:c>
      <x:c r="E12" s="26" t="str">
        <x:v>Research authorization type before marketplace inclusion</x:v>
      </x:c>
      <x:c r="F12" s="26" t="str">
        <x:v>https://www.cctsan-vaud.ch/convention-collective-de-travail/entites-soumises-a-la-cct/</x:v>
      </x:c>
    </x:row>
    <x:row r="13">
      <x:c r="A13" s="26" t="str">
        <x:v>Nova Vita Residenz Montreux Sàrl</x:v>
      </x:c>
      <x:c r="B13" s="26" t="str">
        <x:v>OSAD privée — type unresolved</x:v>
      </x:c>
      <x:c r="C13" s="26" t="str">
        <x:v>Residence-linked</x:v>
      </x:c>
      <x:c r="D13" s="26" t="str">
        <x:v>Current CCT list</x:v>
      </x:c>
      <x:c r="E13" s="26" t="str">
        <x:v>Likely institution-linked; research type</x:v>
      </x:c>
      <x:c r="F13" s="26" t="str">
        <x:v>https://www.cctsan-vaud.ch/convention-collective-de-travail/entites-soumises-a-la-cct/</x:v>
      </x:c>
    </x:row>
    <x:row r="14">
      <x:c r="A14" s="26" t="str">
        <x:v>OSAD Fondation Nos Pénates</x:v>
      </x:c>
      <x:c r="B14" s="26" t="str">
        <x:v>OSAD privée — type unresolved</x:v>
      </x:c>
      <x:c r="C14" s="26" t="str">
        <x:v>EMS-linked</x:v>
      </x:c>
      <x:c r="D14" s="26" t="str">
        <x:v>Current CCT list</x:v>
      </x:c>
      <x:c r="E14" s="26" t="str">
        <x:v>Separate institutional bucket pending type</x:v>
      </x:c>
      <x:c r="F14" s="26" t="str">
        <x:v>https://www.cctsan-vaud.ch/convention-collective-de-travail/entites-soumises-a-la-cct/</x:v>
      </x:c>
    </x:row>
    <x:row r="15">
      <x:c r="A15" s="26" t="str">
        <x:v>OSAD La Primerose</x:v>
      </x:c>
      <x:c r="B15" s="26" t="str">
        <x:v>OSAD privée — type unresolved</x:v>
      </x:c>
      <x:c r="C15" s="26" t="str">
        <x:v>EMS-linked</x:v>
      </x:c>
      <x:c r="D15" s="26" t="str">
        <x:v>Current CCT list</x:v>
      </x:c>
      <x:c r="E15" s="26" t="str">
        <x:v>Separate institutional bucket pending type</x:v>
      </x:c>
      <x:c r="F15" s="26" t="str">
        <x:v>https://www.cctsan-vaud.ch/convention-collective-de-travail/entites-soumises-a-la-cct/</x:v>
      </x:c>
    </x:row>
    <x:row r="16">
      <x:c r="A16" s="26" t="str">
        <x:v>OSAD Le Bourg</x:v>
      </x:c>
      <x:c r="B16" s="26" t="str">
        <x:v>OSAD privée — type unresolved</x:v>
      </x:c>
      <x:c r="C16" s="26" t="str">
        <x:v>Residence-linked</x:v>
      </x:c>
      <x:c r="D16" s="26" t="str">
        <x:v>Current CCT list</x:v>
      </x:c>
      <x:c r="E16" s="26" t="str">
        <x:v>Separate institutional bucket pending type</x:v>
      </x:c>
      <x:c r="F16" s="26" t="str">
        <x:v>https://www.cctsan-vaud.ch/convention-collective-de-travail/entites-soumises-a-la-cct/</x:v>
      </x:c>
    </x:row>
    <x:row r="17">
      <x:c r="A17" s="26" t="str">
        <x:v>OSAD Le Bristol</x:v>
      </x:c>
      <x:c r="B17" s="26" t="str">
        <x:v>OSAD privée — type unresolved</x:v>
      </x:c>
      <x:c r="C17" s="26" t="str">
        <x:v>Residence-linked</x:v>
      </x:c>
      <x:c r="D17" s="26" t="str">
        <x:v>Current CCT list</x:v>
      </x:c>
      <x:c r="E17" s="26" t="str">
        <x:v>Separate institutional bucket pending type</x:v>
      </x:c>
      <x:c r="F17" s="26" t="str">
        <x:v>https://www.cctsan-vaud.ch/convention-collective-de-travail/entites-soumises-a-la-cct/</x:v>
      </x:c>
    </x:row>
    <x:row r="18">
      <x:c r="A18" s="26" t="str">
        <x:v>OSAD Nomàd</x:v>
      </x:c>
      <x:c r="B18" s="26" t="str">
        <x:v>OSAD privée — type unresolved</x:v>
      </x:c>
      <x:c r="C18" s="26" t="str">
        <x:v>Institutional/other</x:v>
      </x:c>
      <x:c r="D18" s="26" t="str">
        <x:v>Current CCT list</x:v>
      </x:c>
      <x:c r="E18" s="26" t="str">
        <x:v>Research type/current patient-facing identity</x:v>
      </x:c>
      <x:c r="F18" s="26" t="str">
        <x:v>https://www.cctsan-vaud.ch/convention-collective-de-travail/entites-soumises-a-la-cct/</x:v>
      </x:c>
    </x:row>
    <x:row r="19">
      <x:c r="A19" s="26" t="str">
        <x:v>Vitaloria Sàrl</x:v>
      </x:c>
      <x:c r="B19" s="26" t="str">
        <x:v>OSAD privée — type unresolved</x:v>
      </x:c>
      <x:c r="C19" s="26" t="str">
        <x:v>Institutional/other</x:v>
      </x:c>
      <x:c r="D19" s="26" t="str">
        <x:v>Current CCT list</x:v>
      </x:c>
      <x:c r="E19" s="26" t="str">
        <x:v>Research authorization type and scope</x:v>
      </x:c>
      <x:c r="F19" s="26" t="str">
        <x:v>https://www.cctsan-vaud.ch/convention-collective-de-travail/entites-soumises-a-la-cct/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0bd4e30c06b451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8" hidden="0" customWidth="1"/>
    <x:col min="4" max="4" width="58" hidden="0" customWidth="1"/>
  </x:cols>
  <x:sheetData>
    <x:row r="1" ht="30" customHeight="1">
      <x:c r="A1" s="4" t="str">
        <x:v>Source Hierarchy &amp; Research Rules</x:v>
      </x:c>
      <x:c r="B1" s="4"/>
      <x:c r="C1" s="4"/>
      <x:c r="D1" s="4"/>
    </x:row>
    <x:row r="2" ht="34" customHeight="1">
      <x:c r="A2" s="10" t="str">
        <x:v>Use this sheet when continuing Phase 5E/5F so future research doesn't silently downgrade evidence quality.</x:v>
      </x:c>
      <x:c r="B2" s="10"/>
      <x:c r="C2" s="10"/>
      <x:c r="D2" s="10"/>
    </x:row>
    <x:row r="4" ht="28" customHeight="1">
      <x:c r="A4" s="18" t="str">
        <x:v>Priority</x:v>
      </x:c>
      <x:c r="B4" s="18" t="str">
        <x:v>Source type</x:v>
      </x:c>
      <x:c r="C4" s="18" t="str">
        <x:v>Use</x:v>
      </x:c>
      <x:c r="D4" s="18" t="str">
        <x:v>Rule</x:v>
      </x:c>
    </x:row>
    <x:row r="5">
      <x:c r="A5" s="26" t="n">
        <x:v>1</x:v>
      </x:c>
      <x:c r="B5" s="26" t="str">
        <x:v>Canton / AVASAD official</x:v>
      </x:c>
      <x:c r="C5" s="26" t="str">
        <x:v>Authorization framework, public CMS structure, official lists</x:v>
      </x:c>
      <x:c r="D5" s="26" t="str">
        <x:v>Highest priority for current status and public-system facts.</x:v>
      </x:c>
    </x:row>
    <x:row r="6">
      <x:c r="A6" s="26" t="n">
        <x:v>2</x:v>
      </x:c>
      <x:c r="B6" s="26" t="str">
        <x:v>Regional health networks</x:v>
      </x:c>
      <x:c r="C6" s="26" t="str">
        <x:v>Patient-facing Type-1 lists, local coverage evidence</x:v>
      </x:c>
      <x:c r="D6" s="26" t="str">
        <x:v>Strong discovery evidence; can be stale on individual identities, so cross-check legal status.</x:v>
      </x:c>
    </x:row>
    <x:row r="7">
      <x:c r="A7" s="26" t="n">
        <x:v>3</x:v>
      </x:c>
      <x:c r="B7" s="26" t="str">
        <x:v>Provider official site</x:v>
      </x:c>
      <x:c r="C7" s="26" t="str">
        <x:v>Current branding, services, locations, contact pathways</x:v>
      </x:c>
      <x:c r="D7" s="26" t="str">
        <x:v>Good for provider-declared facts; do not infer authorization or coverage beyond explicit wording.</x:v>
      </x:c>
    </x:row>
    <x:row r="8">
      <x:c r="A8" s="26" t="n">
        <x:v>4</x:v>
      </x:c>
      <x:c r="B8" s="26" t="str">
        <x:v>Commercial register / FAO / FOSC</x:v>
      </x:c>
      <x:c r="C8" s="26" t="str">
        <x:v>Legal identity, rename, merger, bankruptcy, deletion</x:v>
      </x:c>
      <x:c r="D8" s="26" t="str">
        <x:v>Use to resolve current/historical identity. Legal existence alone does not prove current authorization.</x:v>
      </x:c>
    </x:row>
    <x:row r="9">
      <x:c r="A9" s="26" t="n">
        <x:v>5</x:v>
      </x:c>
      <x:c r="B9" s="26" t="str">
        <x:v>Directories / aggregators</x:v>
      </x:c>
      <x:c r="C9" s="26" t="str">
        <x:v>Candidate discovery only</x:v>
      </x:c>
      <x:c r="D9" s="26" t="str">
        <x:v>Never use alone for authorization, services or active status.</x:v>
      </x:c>
    </x:row>
    <x:row r="11" ht="28" customHeight="1">
      <x:c r="A11" s="18" t="str">
        <x:v>Research rule</x:v>
      </x:c>
      <x:c r="B11" s="18" t="str">
        <x:v>Do</x:v>
      </x:c>
      <x:c r="C11" s="18" t="str">
        <x:v>Do not</x:v>
      </x:c>
      <x:c r="D11" s="18" t="str">
        <x:v>Example</x:v>
      </x:c>
    </x:row>
    <x:row r="12">
      <x:c r="A12" s="26" t="str">
        <x:v>Coverage</x:v>
      </x:c>
      <x:c r="B12" s="26" t="str">
        <x:v>Store explicit service evidence</x:v>
      </x:c>
      <x:c r="C12" s="26" t="str">
        <x:v>Infer canton-wide coverage from an office address</x:v>
      </x:c>
      <x:c r="D12" s="26" t="str">
        <x:v>Renens office ≠ all Vaud</x:v>
      </x:c>
    </x:row>
    <x:row r="13">
      <x:c r="A13" s="26" t="str">
        <x:v>Authorization</x:v>
      </x:c>
      <x:c r="B13" s="26" t="str">
        <x:v>Keep source + date</x:v>
      </x:c>
      <x:c r="C13" s="26" t="str">
        <x:v>Assume 'Spitex' proves authorized OSAD status</x:v>
      </x:c>
      <x:c r="D13" s="26" t="str">
        <x:v>Reconcile with Canton list</x:v>
      </x:c>
    </x:row>
    <x:row r="14">
      <x:c r="A14" s="26" t="str">
        <x:v>Identity</x:v>
      </x:c>
      <x:c r="B14" s="26" t="str">
        <x:v>Track current name + aliases</x:v>
      </x:c>
      <x:c r="C14" s="26" t="str">
        <x:v>Create duplicate when brand renamed</x:v>
      </x:c>
      <x:c r="D14" s="26" t="str">
        <x:v>HTHC → Sciensus</x:v>
      </x:c>
    </x:row>
    <x:row r="15">
      <x:c r="A15" s="26" t="str">
        <x:v>Institutional OSAD</x:v>
      </x:c>
      <x:c r="B15" s="26" t="str">
        <x:v>Classify separately</x:v>
      </x:c>
      <x:c r="C15" s="26" t="str">
        <x:v>Mix Type 2/SSJN with Type 1</x:v>
      </x:c>
      <x:c r="D15" s="26" t="str">
        <x:v>La Gottaz / Home Med</x:v>
      </x:c>
    </x:row>
    <x:row r="16">
      <x:c r="A16" s="26" t="str">
        <x:v>Historical provider</x:v>
      </x:c>
      <x:c r="B16" s="26" t="str">
        <x:v>Preserve lineage</x:v>
      </x:c>
      <x:c r="C16" s="26" t="str">
        <x:v>Publish as active because an old network page still lists it</x:v>
      </x:c>
      <x:c r="D16" s="26" t="str">
        <x:v>Asadom / OSADEX</x:v>
      </x:c>
    </x:row>
    <x:row r="17">
      <x:c r="A17" s="26" t="str">
        <x:v>Unknown fact</x:v>
      </x:c>
      <x:c r="B17" s="26" t="str">
        <x:v>Leave unknown</x:v>
      </x:c>
      <x:c r="C17" s="26" t="str">
        <x:v>Fill a field because it is likely</x:v>
      </x:c>
      <x:c r="D17" s="26" t="str">
        <x:v>Unknown &gt; false</x:v>
      </x:c>
    </x:row>
    <x:row r="18">
      <x:c r="A18" s="26" t="str">
        <x:v>Official Canton OSAD workbook (uploaded)</x:v>
      </x:c>
      <x:c r="B18" s="26" t="str">
        <x:v>Etat du 02.03.2026 — 30 displayed organizations/sites plus caveat note</x:v>
      </x:c>
      <x:c r="C18" s="26" t="str">
        <x:v>Primary authorization baseline used for reconciliation</x:v>
      </x:c>
      <x:c r="D18" s="26" t="str">
        <x:v>User-uploaded file: 20260302_DIM_Doc_Autre_Liste-OSAD-Site-internet_1_.xlsx</x:v>
      </x:c>
    </x:row>
    <x:row r="19">
      <x:c r="A19" s="26" t="str">
        <x:v>AMAD current legal identity</x:v>
      </x:c>
      <x:c r="B19" s="26" t="str">
        <x:v>AMAD Homecare SA, Lutry; AMAD Homecare La Côte SA, Nyon</x:v>
      </x:c>
      <x:c r="C19" s="26" t="str">
        <x:v>Correct stale legal form/name in official workbook</x:v>
      </x:c>
      <x:c r="D19" s="26" t="str">
        <x:v>https://www.moneyhouse.ch/fr/company/amad-homecare-sa-17262944321</x:v>
      </x:c>
    </x:row>
    <x:row r="20">
      <x:c r="A20" s="26" t="str">
        <x:v>AMAD La Côte rename</x:v>
      </x:c>
      <x:c r="B20" s="26" t="str">
        <x:v>Qualis Vita La Côte SA → AMAD Homecare La Côte SA</x:v>
      </x:c>
      <x:c r="C20" s="26" t="str">
        <x:v>Current canonical identity for official Nyon row</x:v>
      </x:c>
      <x:c r="D20" s="26" t="str">
        <x:v>https://www.moneyhouse.ch/fr/company/amad-homecare-la-cote-sa-19445872001</x:v>
      </x:c>
    </x:row>
    <x:row r="21">
      <x:c r="A21" s="26" t="str">
        <x:v>Altoan provider site</x:v>
      </x:c>
      <x:c r="B21" s="26" t="str">
        <x:v>Provider states it is strictly non-medical</x:v>
      </x:c>
      <x:c r="C21" s="26" t="str">
        <x:v>Moves Altoan out of OSAD medical bucket</x:v>
      </x:c>
      <x:c r="D21" s="26" t="str">
        <x:v>https://altoan.com/contact</x:v>
      </x:c>
    </x:row>
    <x:row r="22">
      <x:c r="A22" s="26" t="str">
        <x:v>SoinVaud legal identity</x:v>
      </x:c>
      <x:c r="B22" s="26" t="str">
        <x:v>SoinVaud Sàrl at same address as current La Côte 'Soinsvaud' entry</x:v>
      </x:c>
      <x:c r="C22" s="26" t="str">
        <x:v>Resolves brand/legal identity</x:v>
      </x:c>
      <x:c r="D22" s="26" t="str">
        <x:v>https://www.moneyhouse.ch/fr/company/soinvaud-sarl-20792789311</x:v>
      </x:c>
    </x:row>
    <x:row r="23">
      <x:c r="A23" s="26" t="str">
        <x:v>Dovida Vaud</x:v>
      </x:c>
      <x:c r="B23" s="26" t="str">
        <x:v>Crissier/Lausanne regional branch and services</x:v>
      </x:c>
      <x:c r="C23" s="26" t="str">
        <x:v>Current public-facing Vaud brand</x:v>
      </x:c>
      <x:c r="D23" s="26" t="str">
        <x:v>https://dovida.ch/fr/local-office/lausanne/</x:v>
      </x:c>
    </x:row>
    <x:row r="24">
      <x:c r="A24" s="26" t="str">
        <x:v>Haut-Léman current Type-1 list</x:v>
      </x:c>
      <x:c r="B24" s="26" t="str">
        <x:v>ASDR, CPSE Alexandra, La Réponse, Dovida, Sciensus and others</x:v>
      </x:c>
      <x:c r="C24" s="26" t="str">
        <x:v>Supports current regional-only candidates</x:v>
      </x:c>
      <x:c r="D24" s="26" t="str">
        <x:v>https://reseau-sante-haut-leman.ch/centres-medico-sociaux-cms-et-organisations-de-soins-a-domicile-privees-osad/</x:v>
      </x:c>
    </x:row>
    <x:row r="25">
      <x:c r="A25" s="26" t="str">
        <x:v>La Côte current Type-1 list</x:v>
      </x:c>
      <x:c r="B25" s="26" t="str">
        <x:v>Dovida, Nurse Home Care, Soinsvaud, HTHC/Sciensus historical naming and others</x:v>
      </x:c>
      <x:c r="C25" s="26" t="str">
        <x:v>Supports current regional-only candidates</x:v>
      </x:c>
      <x:c r="D25" s="26" t="str">
        <x:v>https://reseau-sante-lacote.ch/membres-affilies/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8" hidden="0" customWidth="1"/>
    <x:col min="3" max="3" width="28" hidden="0" customWidth="1"/>
    <x:col min="4" max="4" width="22" hidden="0" customWidth="1"/>
    <x:col min="5" max="5" width="18" hidden="0" customWidth="1"/>
    <x:col min="6" max="6" width="30" hidden="0" customWidth="1"/>
    <x:col min="7" max="7" width="34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33" hidden="0" customWidth="1"/>
    <x:col min="13" max="13" width="30" hidden="0" customWidth="1"/>
    <x:col min="14" max="14" width="35" hidden="0" customWidth="1"/>
    <x:col min="15" max="15" width="55" hidden="0" customWidth="1"/>
  </x:cols>
  <x:sheetData>
    <x:row r="1">
      <x:c r="A1" s="34" t="str">
        <x:v>ORGANISATION / SITE</x:v>
      </x:c>
      <x:c r="B1" s="26" t="str">
        <x:v>CONTACT / RESPONSABLE</x:v>
      </x:c>
      <x:c r="C1" s="26" t="str">
        <x:v>ADRESSE</x:v>
      </x:c>
      <x:c r="D1" s="26" t="str">
        <x:v>LOCALITE</x:v>
      </x:c>
      <x:c r="E1" s="26" t="str">
        <x:v>TELEPHONE</x:v>
      </x:c>
      <x:c r="F1" s="26" t="str">
        <x:v>COURRIEL</x:v>
      </x:c>
      <x:c r="G1" s="26" t="str">
        <x:v>SITE INTERNET</x:v>
      </x:c>
      <x:c r="H1" s="26" t="str">
        <x:v>RSHL</x:v>
      </x:c>
      <x:c r="I1" s="26" t="str">
        <x:v>RSRL</x:v>
      </x:c>
      <x:c r="J1" s="26" t="str">
        <x:v>RSNB</x:v>
      </x:c>
      <x:c r="K1" s="26" t="str">
        <x:v>RSLC</x:v>
      </x:c>
      <x:c r="L1" s="26" t="str">
        <x:v>Canonical current name</x:v>
      </x:c>
      <x:c r="M1" s="26" t="str">
        <x:v>Current class</x:v>
      </x:c>
      <x:c r="N1" s="26" t="str">
        <x:v>Phase 5F action</x:v>
      </x:c>
      <x:c r="O1" s="26" t="str">
        <x:v>Reconciliation note</x:v>
      </x:c>
    </x:row>
    <x:row r="2">
      <x:c r="A2" s="26" t="str">
        <x:v>1 Monde PatientS</x:v>
      </x:c>
      <x:c r="B2" s="26" t="str">
        <x:v>Monsieur Jacques RUFER</x:v>
      </x:c>
      <x:c r="C2" s="26" t="str">
        <x:v>Chemin de la Repiaz 8a</x:v>
      </x:c>
      <x:c r="D2" s="26" t="str">
        <x:v>1417 Epautheyres</x:v>
      </x:c>
      <x:c r="E2" s="26" t="str">
        <x:v>076 414 40 35</x:v>
      </x:c>
      <x:c r="F2" s="26" t="str">
        <x:v>contact@1mondepatients.ch</x:v>
      </x:c>
      <x:c r="G2" s="26" t="str">
        <x:v>https://1mp.ch/</x:v>
      </x:c>
      <x:c r="H2" s="26" t="str">
        <x:v>OUI</x:v>
      </x:c>
      <x:c r="I2" s="26"/>
      <x:c r="J2" s="26"/>
      <x:c r="K2" s="26" t="str">
        <x:v>OUI</x:v>
      </x:c>
      <x:c r="L2" s="26" t="str">
        <x:v>1 Monde PatientS, société coopérative</x:v>
      </x:c>
      <x:c r="M2" s="26" t="str">
        <x:v>Generalist home-care OSAD</x:v>
      </x:c>
      <x:c r="N2" s="26" t="str">
        <x:v>NEW — official provider</x:v>
      </x:c>
      <x:c r="O2" s="26" t="str"/>
    </x:row>
    <x:row r="3">
      <x:c r="A3" s="26" t="str">
        <x:v>AMAD Homecare Sàrl</x:v>
      </x:c>
      <x:c r="B3" s="26" t="str">
        <x:v>Madame Catherine DJAOUTI</x:v>
      </x:c>
      <x:c r="C3" s="26" t="str">
        <x:v>Route de Taillepied 89</x:v>
      </x:c>
      <x:c r="D3" s="26" t="str">
        <x:v>1095 Lutry</x:v>
      </x:c>
      <x:c r="E3" s="26" t="str">
        <x:v>021 552 05 53</x:v>
      </x:c>
      <x:c r="F3" s="26" t="str">
        <x:v>info@amad-vaud.ch</x:v>
      </x:c>
      <x:c r="G3" s="26" t="str">
        <x:v>www.amad-vaud.ch</x:v>
      </x:c>
      <x:c r="H3" s="26"/>
      <x:c r="I3" s="26" t="str">
        <x:v>OUI</x:v>
      </x:c>
      <x:c r="J3" s="26" t="str">
        <x:v>OUI</x:v>
      </x:c>
      <x:c r="K3" s="26" t="str">
        <x:v>OUI</x:v>
      </x:c>
      <x:c r="L3" s="26" t="str">
        <x:v>AMAD Homecare SA</x:v>
      </x:c>
      <x:c r="M3" s="26" t="str">
        <x:v>Generalist / commercial network</x:v>
      </x:c>
      <x:c r="N3" s="26" t="str">
        <x:v>RESOLVE STRUCTURE — AMAD brand/sites</x:v>
      </x:c>
      <x:c r="O3" s="26" t="str">
        <x:v>Official workbook uses an old legal-form name. Current commercial-register name is AMAD Homecare SA (CHE-400.384.429).</x:v>
      </x:c>
    </x:row>
    <x:row r="4">
      <x:c r="A4" s="26" t="str">
        <x:v>C-Vital Sàrl </x:v>
      </x:c>
      <x:c r="B4" s="26" t="str">
        <x:v>Madame Maïzi FADHILA</x:v>
      </x:c>
      <x:c r="C4" s="26" t="str">
        <x:v>Route de Palézieux 16</x:v>
      </x:c>
      <x:c r="D4" s="26" t="str">
        <x:v>1610 Oron-la-Ville</x:v>
      </x:c>
      <x:c r="E4" s="26" t="str">
        <x:v>021 907 88 88</x:v>
      </x:c>
      <x:c r="F4" s="26" t="str">
        <x:v>info@c-vital.ch</x:v>
      </x:c>
      <x:c r="G4" s="26" t="str">
        <x:v>https://c-vital.digitalone.site/</x:v>
      </x:c>
      <x:c r="H4" s="26"/>
      <x:c r="I4" s="26"/>
      <x:c r="J4" s="26" t="str">
        <x:v>OUI</x:v>
      </x:c>
      <x:c r="K4" s="26"/>
      <x:c r="L4" s="26" t="str">
        <x:v>C-VITAL Sàrl</x:v>
      </x:c>
      <x:c r="M4" s="26" t="str">
        <x:v>Generalist home-care OSAD</x:v>
      </x:c>
      <x:c r="N4" s="26" t="str">
        <x:v>NEW — official provider</x:v>
      </x:c>
      <x:c r="O4" s="26" t="str"/>
    </x:row>
    <x:row r="5">
      <x:c r="A5" s="26" t="str">
        <x:v>Fondation Beau-Séjour</x:v>
      </x:c>
      <x:c r="B5" s="26" t="str">
        <x:v>Monsieur Philippe HIRSIGER</x:v>
      </x:c>
      <x:c r="C5" s="26" t="str">
        <x:v>Rue des Communaux 2</x:v>
      </x:c>
      <x:c r="D5" s="26" t="str">
        <x:v>1800 Vevey</x:v>
      </x:c>
      <x:c r="E5" s="26" t="str">
        <x:v>021 925 90 00</x:v>
      </x:c>
      <x:c r="F5" s="26" t="str">
        <x:v>direction@fondationbeausejour.ch</x:v>
      </x:c>
      <x:c r="G5" s="26" t="str">
        <x:v>www.fondationbeausejour.ch</x:v>
      </x:c>
      <x:c r="H5" s="26" t="str">
        <x:v>OUI</x:v>
      </x:c>
      <x:c r="I5" s="26"/>
      <x:c r="J5" s="26"/>
      <x:c r="K5" s="26"/>
      <x:c r="L5" s="26" t="str">
        <x:v>Fondation Beau-Séjour</x:v>
      </x:c>
      <x:c r="M5" s="26" t="str">
        <x:v>Institution-linked home-care OSAD</x:v>
      </x:c>
      <x:c r="N5" s="26" t="str">
        <x:v>RESEARCH OFFERING — institution-linked</x:v>
      </x:c>
      <x:c r="O5" s="26" t="str"/>
    </x:row>
    <x:row r="6">
      <x:c r="A6" s="26" t="str">
        <x:v>Groupe Romand Prévention Traitement Plaies (GRPTP)</x:v>
      </x:c>
      <x:c r="B6" s="26" t="str">
        <x:v>Monsieur Sébastien LAUNIER</x:v>
      </x:c>
      <x:c r="C6" s="26" t="str">
        <x:v>Impasse des Arbero 9 </x:v>
      </x:c>
      <x:c r="D6" s="26" t="str">
        <x:v>1699 Bouloz</x:v>
      </x:c>
      <x:c r="E6" s="26" t="str">
        <x:v>021 651 81 06</x:v>
      </x:c>
      <x:c r="F6" s="26" t="str">
        <x:v>info@grptp.ch</x:v>
      </x:c>
      <x:c r="G6" s="26" t="str">
        <x:v>www.grptp.ch</x:v>
      </x:c>
      <x:c r="H6" s="26" t="str">
        <x:v>OUI</x:v>
      </x:c>
      <x:c r="I6" s="26" t="str">
        <x:v>OUI</x:v>
      </x:c>
      <x:c r="J6" s="26"/>
      <x:c r="K6" s="26"/>
      <x:c r="L6" s="26" t="str">
        <x:v>Groupe Romand Prévention Traitement Plaies (GRPTP)</x:v>
      </x:c>
      <x:c r="M6" s="26" t="str">
        <x:v>Specialist wound-care OSAD</x:v>
      </x:c>
      <x:c r="N6" s="26" t="str">
        <x:v>NEW — specialist provider</x:v>
      </x:c>
      <x:c r="O6" s="26" t="str"/>
    </x:row>
    <x:row r="7">
      <x:c r="A7" s="26" t="str">
        <x:v>Helvetia Sàrl OSAD</x:v>
      </x:c>
      <x:c r="B7" s="26" t="str">
        <x:v>Monsieur Mergim GËRDELLAJ</x:v>
      </x:c>
      <x:c r="C7" s="26" t="str">
        <x:v>Route de Massongex 4</x:v>
      </x:c>
      <x:c r="D7" s="26" t="str">
        <x:v>1880 Bex</x:v>
      </x:c>
      <x:c r="E7" s="26" t="str">
        <x:v>024 472 11 47</x:v>
      </x:c>
      <x:c r="F7" s="26" t="str">
        <x:v>info@osad-helvetia.ch</x:v>
      </x:c>
      <x:c r="G7" s="26" t="str">
        <x:v>https://osad-helvetia.ch/</x:v>
      </x:c>
      <x:c r="H7" s="26" t="str">
        <x:v>OUI</x:v>
      </x:c>
      <x:c r="I7" s="26"/>
      <x:c r="J7" s="26"/>
      <x:c r="K7" s="26"/>
      <x:c r="L7" s="26" t="str">
        <x:v>OSAD Helvetia Sàrl</x:v>
      </x:c>
      <x:c r="M7" s="26" t="str">
        <x:v>Generalist home-care OSAD</x:v>
      </x:c>
      <x:c r="N7" s="26" t="str">
        <x:v>NEW — official provider</x:v>
      </x:c>
      <x:c r="O7" s="26" t="str"/>
    </x:row>
    <x:row r="8">
      <x:c r="A8" s="26" t="str">
        <x:v>Home Assistance Sàrl</x:v>
      </x:c>
      <x:c r="B8" s="26" t="str">
        <x:v>Monsieur Yves ECKERT</x:v>
      </x:c>
      <x:c r="C8" s="26" t="str">
        <x:v>Route Aloys-Fauquez 2</x:v>
      </x:c>
      <x:c r="D8" s="26" t="str">
        <x:v>1018 Lausanne</x:v>
      </x:c>
      <x:c r="E8" s="26" t="str">
        <x:v>0800 949 494</x:v>
      </x:c>
      <x:c r="F8" s="26" t="str">
        <x:v>info@homeassistance.ch</x:v>
      </x:c>
      <x:c r="G8" s="26" t="str">
        <x:v>www.homeassistance.ch</x:v>
      </x:c>
      <x:c r="H8" s="26" t="str">
        <x:v>OUI</x:v>
      </x:c>
      <x:c r="I8" s="26" t="str">
        <x:v>OUI</x:v>
      </x:c>
      <x:c r="J8" s="26" t="str">
        <x:v>OUI</x:v>
      </x:c>
      <x:c r="K8" s="26" t="str">
        <x:v>OUI</x:v>
      </x:c>
      <x:c r="L8" s="26" t="str">
        <x:v>Home Assistance Sàrl</x:v>
      </x:c>
      <x:c r="M8" s="26" t="str">
        <x:v>Generalist home-care OSAD</x:v>
      </x:c>
      <x:c r="N8" s="26" t="str">
        <x:v>NEW — official provider</x:v>
      </x:c>
      <x:c r="O8" s="26" t="str"/>
    </x:row>
    <x:row r="9">
      <x:c r="A9" s="26" t="str">
        <x:v>Hygie-Soins Sàrl </x:v>
      </x:c>
      <x:c r="B9" s="26" t="str">
        <x:v>Madame Sandra EHRET</x:v>
      </x:c>
      <x:c r="C9" s="26" t="str">
        <x:v>Chemin des Mésnages 3</x:v>
      </x:c>
      <x:c r="D9" s="26" t="str">
        <x:v>1522 Lucens</x:v>
      </x:c>
      <x:c r="E9" s="26" t="str">
        <x:v>079 899 59 85</x:v>
      </x:c>
      <x:c r="F9" s="26" t="str">
        <x:v>direction@hygie-soins.ch</x:v>
      </x:c>
      <x:c r="G9" s="26" t="str">
        <x:v>https://hygie-soins.ch/</x:v>
      </x:c>
      <x:c r="H9" s="26" t="str">
        <x:v>OUI</x:v>
      </x:c>
      <x:c r="I9" s="26" t="str">
        <x:v>OUI</x:v>
      </x:c>
      <x:c r="J9" s="26" t="str">
        <x:v>OUI</x:v>
      </x:c>
      <x:c r="K9" s="26" t="str">
        <x:v>OUI</x:v>
      </x:c>
      <x:c r="L9" s="26" t="str">
        <x:v>Hygie-Soins Sàrl</x:v>
      </x:c>
      <x:c r="M9" s="26" t="str">
        <x:v>Generalist home-care OSAD</x:v>
      </x:c>
      <x:c r="N9" s="26" t="str">
        <x:v>NEW — official provider</x:v>
      </x:c>
      <x:c r="O9" s="26" t="str"/>
    </x:row>
    <x:row r="10">
      <x:c r="A10" s="26" t="str">
        <x:v>La Boîte O Services Sàrl</x:v>
      </x:c>
      <x:c r="B10" s="26" t="str">
        <x:v>Monsieur Johann FRAIN</x:v>
      </x:c>
      <x:c r="C10" s="26" t="str">
        <x:v>Route des Vignerons 30</x:v>
      </x:c>
      <x:c r="D10" s="26" t="str">
        <x:v>1166 Perroy</x:v>
      </x:c>
      <x:c r="E10" s="26" t="str">
        <x:v>0800 00 44 33</x:v>
      </x:c>
      <x:c r="F10" s="26" t="str">
        <x:v>info@laboiteoservices.ch</x:v>
      </x:c>
      <x:c r="G10" s="26" t="str">
        <x:v>www.laboiteoservices.ch</x:v>
      </x:c>
      <x:c r="H10" s="26" t="str">
        <x:v>OUI</x:v>
      </x:c>
      <x:c r="I10" s="26" t="str">
        <x:v>OUI</x:v>
      </x:c>
      <x:c r="J10" s="26" t="str">
        <x:v>OUI</x:v>
      </x:c>
      <x:c r="K10" s="26" t="str">
        <x:v>OUI</x:v>
      </x:c>
      <x:c r="L10" s="26" t="str">
        <x:v>La Boîte O Services Sàrl</x:v>
      </x:c>
      <x:c r="M10" s="26" t="str">
        <x:v>Generalist home-care OSAD</x:v>
      </x:c>
      <x:c r="N10" s="26" t="str">
        <x:v>NEW — official provider</x:v>
      </x:c>
      <x:c r="O10" s="26" t="str"/>
    </x:row>
    <x:row r="11">
      <x:c r="A11" s="26" t="str">
        <x:v>La Source à domicile Sàrl</x:v>
      </x:c>
      <x:c r="B11" s="26" t="str">
        <x:v>Monsieur Benjamin GROSGOJAT</x:v>
      </x:c>
      <x:c r="C11" s="26" t="str">
        <x:v>Avenue des Bergières 10</x:v>
      </x:c>
      <x:c r="D11" s="26" t="str">
        <x:v>1004 Lausanne</x:v>
      </x:c>
      <x:c r="E11" s="26" t="str">
        <x:v>021 310 73 00</x:v>
      </x:c>
      <x:c r="F11" s="26" t="str">
        <x:v>soinsadomicile@lasource.ch</x:v>
      </x:c>
      <x:c r="G11" s="26" t="str">
        <x:v>www.lasource.ch</x:v>
      </x:c>
      <x:c r="H11" s="26" t="str">
        <x:v>OUI</x:v>
      </x:c>
      <x:c r="I11" s="26" t="str">
        <x:v>OUI</x:v>
      </x:c>
      <x:c r="J11" s="26" t="str">
        <x:v>OUI</x:v>
      </x:c>
      <x:c r="K11" s="26" t="str">
        <x:v>OUI</x:v>
      </x:c>
      <x:c r="L11" s="26" t="str">
        <x:v>La Source à domicile Sàrl</x:v>
      </x:c>
      <x:c r="M11" s="26" t="str">
        <x:v>Generalist home-care OSAD</x:v>
      </x:c>
      <x:c r="N11" s="26" t="str">
        <x:v>NEW — official provider</x:v>
      </x:c>
      <x:c r="O11" s="26" t="str"/>
    </x:row>
    <x:row r="12">
      <x:c r="A12" s="26" t="str">
        <x:v>Les Soins Volants Sàrl</x:v>
      </x:c>
      <x:c r="B12" s="26" t="str">
        <x:v>Madame Pakize PALAN</x:v>
      </x:c>
      <x:c r="C12" s="26" t="str">
        <x:v>Avenue Bosquets de Julie 8</x:v>
      </x:c>
      <x:c r="D12" s="26" t="str">
        <x:v>1815 Clarens</x:v>
      </x:c>
      <x:c r="E12" s="26" t="str">
        <x:v>021 888 02 02</x:v>
      </x:c>
      <x:c r="F12" s="26" t="str">
        <x:v>info@soinsvolants.ch</x:v>
      </x:c>
      <x:c r="G12" s="26" t="str">
        <x:v>www.soinsvolants.ch</x:v>
      </x:c>
      <x:c r="H12" s="26" t="str">
        <x:v>OUI</x:v>
      </x:c>
      <x:c r="I12" s="26" t="str">
        <x:v>OUI</x:v>
      </x:c>
      <x:c r="J12" s="26" t="str">
        <x:v>OUI</x:v>
      </x:c>
      <x:c r="K12" s="26" t="str">
        <x:v>OUI</x:v>
      </x:c>
      <x:c r="L12" s="26" t="str">
        <x:v>Les Soins Volants Sàrl</x:v>
      </x:c>
      <x:c r="M12" s="26" t="str">
        <x:v>Generalist home-care OSAD</x:v>
      </x:c>
      <x:c r="N12" s="26" t="str">
        <x:v>NEW — official provider</x:v>
      </x:c>
      <x:c r="O12" s="26" t="str"/>
    </x:row>
    <x:row r="13">
      <x:c r="A13" s="26" t="str">
        <x:v>Levant (Fondation du Levant)</x:v>
      </x:c>
      <x:c r="B13" s="26" t="str">
        <x:v>Monsieur Cédric PERRIARD</x:v>
      </x:c>
      <x:c r="C13" s="26" t="str">
        <x:v>Chemin du Levant 159</x:v>
      </x:c>
      <x:c r="D13" s="26" t="str">
        <x:v>1005 Lausanne</x:v>
      </x:c>
      <x:c r="E13" s="26" t="str">
        <x:v>021 721 41 11</x:v>
      </x:c>
      <x:c r="F13" s="26" t="str">
        <x:v>osad@levant.ch</x:v>
      </x:c>
      <x:c r="G13" s="26" t="str">
        <x:v>www.levant.ch</x:v>
      </x:c>
      <x:c r="H13" s="26"/>
      <x:c r="I13" s="26" t="str">
        <x:v>OUI</x:v>
      </x:c>
      <x:c r="J13" s="26"/>
      <x:c r="K13" s="26" t="str">
        <x:v>OUI</x:v>
      </x:c>
      <x:c r="L13" s="26" t="str">
        <x:v>Le Levant / Fondation du Levant</x:v>
      </x:c>
      <x:c r="M13" s="26" t="str">
        <x:v>Institution-linked home-care OSAD</x:v>
      </x:c>
      <x:c r="N13" s="26" t="str">
        <x:v>RESEARCH OFFERING — institution-linked</x:v>
      </x:c>
      <x:c r="O13" s="26" t="str"/>
    </x:row>
    <x:row r="14">
      <x:c r="A14" s="26" t="str">
        <x:v>Ligue pulmonaire vaudoise</x:v>
      </x:c>
      <x:c r="B14" s="26" t="str">
        <x:v>Monsieur Stéphane JEANNERET</x:v>
      </x:c>
      <x:c r="C14" s="26" t="str">
        <x:v>Avenue de Provence 4</x:v>
      </x:c>
      <x:c r="D14" s="26" t="str">
        <x:v>1007 Lausanne</x:v>
      </x:c>
      <x:c r="E14" s="26" t="str">
        <x:v>021 623 38 00   </x:v>
      </x:c>
      <x:c r="F14" s="26" t="str">
        <x:v>info@lpvd.ch</x:v>
      </x:c>
      <x:c r="G14" s="26" t="str">
        <x:v>www.liguepulmonaire.ch</x:v>
      </x:c>
      <x:c r="H14" s="26" t="str">
        <x:v>OUI</x:v>
      </x:c>
      <x:c r="I14" s="26" t="str">
        <x:v>OUI</x:v>
      </x:c>
      <x:c r="J14" s="26" t="str">
        <x:v>OUI</x:v>
      </x:c>
      <x:c r="K14" s="26" t="str">
        <x:v>OUI</x:v>
      </x:c>
      <x:c r="L14" s="26" t="str">
        <x:v>Ligue pulmonaire vaudoise</x:v>
      </x:c>
      <x:c r="M14" s="26" t="str">
        <x:v>Specialist respiratory OSAD</x:v>
      </x:c>
      <x:c r="N14" s="26" t="str">
        <x:v>NEW — specialist provider</x:v>
      </x:c>
      <x:c r="O14" s="26" t="str"/>
    </x:row>
    <x:row r="15">
      <x:c r="A15" s="26" t="str">
        <x:v>Méditrine SA</x:v>
      </x:c>
      <x:c r="B15" s="26" t="str">
        <x:v>Monsieur Denis BÜTÜCI</x:v>
      </x:c>
      <x:c r="C15" s="26" t="str">
        <x:v>Route de la Maladière 4</x:v>
      </x:c>
      <x:c r="D15" s="26" t="str">
        <x:v>1022 Chavannes-près-Renens</x:v>
      </x:c>
      <x:c r="E15" s="26" t="str">
        <x:v>021 691 94 94</x:v>
      </x:c>
      <x:c r="F15" s="26" t="str">
        <x:v>info@meditrine.ch</x:v>
      </x:c>
      <x:c r="G15" s="26" t="str">
        <x:v>www.meditrine.ch/fr/</x:v>
      </x:c>
      <x:c r="H15" s="26" t="str">
        <x:v>OUI</x:v>
      </x:c>
      <x:c r="I15" s="26" t="str">
        <x:v>OUI</x:v>
      </x:c>
      <x:c r="J15" s="26" t="str">
        <x:v>OUI</x:v>
      </x:c>
      <x:c r="K15" s="26"/>
      <x:c r="L15" s="26" t="str">
        <x:v>Méditrine SA</x:v>
      </x:c>
      <x:c r="M15" s="26" t="str">
        <x:v>Generalist home-care OSAD</x:v>
      </x:c>
      <x:c r="N15" s="26" t="str">
        <x:v>NEW — official provider</x:v>
      </x:c>
      <x:c r="O15" s="26" t="str"/>
    </x:row>
    <x:row r="16">
      <x:c r="A16" s="26" t="str">
        <x:v>MSG Soins Sàrl</x:v>
      </x:c>
      <x:c r="B16" s="26" t="str">
        <x:v>Madame Marija STEVANOVIC</x:v>
      </x:c>
      <x:c r="C16" s="26" t="str">
        <x:v>Route de Brent 13F</x:v>
      </x:c>
      <x:c r="D16" s="26" t="str">
        <x:v>1816 Chailly-Montreux</x:v>
      </x:c>
      <x:c r="E16" s="26" t="str">
        <x:v>021 944 03 95</x:v>
      </x:c>
      <x:c r="F16" s="26" t="str">
        <x:v>info@msgsoins.ch</x:v>
      </x:c>
      <x:c r="G16" s="26" t="str">
        <x:v>www.msgsoins.ch</x:v>
      </x:c>
      <x:c r="H16" s="26" t="str">
        <x:v>OUI</x:v>
      </x:c>
      <x:c r="I16" s="26"/>
      <x:c r="J16" s="26"/>
      <x:c r="K16" s="26"/>
      <x:c r="L16" s="26" t="str">
        <x:v>MSG Soins Sàrl</x:v>
      </x:c>
      <x:c r="M16" s="26" t="str">
        <x:v>Generalist home-care OSAD</x:v>
      </x:c>
      <x:c r="N16" s="26" t="str">
        <x:v>NEW — official provider</x:v>
      </x:c>
      <x:c r="O16" s="26" t="str"/>
    </x:row>
    <x:row r="17">
      <x:c r="A17" s="26" t="str">
        <x:v>NOMAD (Fondation Espace)</x:v>
      </x:c>
      <x:c r="B17" s="26" t="str">
        <x:v>Monsieur Thibaut JEHANNO</x:v>
      </x:c>
      <x:c r="C17" s="26" t="str">
        <x:v>Rue du Collège 4 </x:v>
      </x:c>
      <x:c r="D17" s="26" t="str">
        <x:v>1400 Yverdon</x:v>
      </x:c>
      <x:c r="E17" s="26" t="str">
        <x:v>024 420 27 54</x:v>
      </x:c>
      <x:c r="F17" s="26" t="str">
        <x:v>nomad@fondation-espace.com</x:v>
      </x:c>
      <x:c r="G17" s="26" t="str">
        <x:v>www.nomad-osad.ch</x:v>
      </x:c>
      <x:c r="H17" s="26"/>
      <x:c r="I17" s="26"/>
      <x:c r="J17" s="26" t="str">
        <x:v>OUI</x:v>
      </x:c>
      <x:c r="K17" s="26"/>
      <x:c r="L17" s="26" t="str">
        <x:v>NOMàD (Fondation Espace)</x:v>
      </x:c>
      <x:c r="M17" s="26" t="str">
        <x:v>Specialist psychiatric OSAD</x:v>
      </x:c>
      <x:c r="N17" s="26" t="str">
        <x:v>NEW — specialist provider</x:v>
      </x:c>
      <x:c r="O17" s="26" t="str"/>
    </x:row>
    <x:row r="18">
      <x:c r="A18" s="26" t="str">
        <x:v>Ô Santé Sàrl</x:v>
      </x:c>
      <x:c r="B18" s="26" t="str">
        <x:v>Madame Fatmagül AVCI</x:v>
      </x:c>
      <x:c r="C18" s="26" t="str">
        <x:v>Rue d'Echallens 41A</x:v>
      </x:c>
      <x:c r="D18" s="26" t="str">
        <x:v>1041 Poliez-Pittet</x:v>
      </x:c>
      <x:c r="E18" s="26" t="str">
        <x:v>021 881 23 23</x:v>
      </x:c>
      <x:c r="F18" s="26" t="str">
        <x:v>info@o-sante.ch</x:v>
      </x:c>
      <x:c r="G18" s="26" t="str">
        <x:v>www.o-sante.ch</x:v>
      </x:c>
      <x:c r="H18" s="26" t="str">
        <x:v>OUI</x:v>
      </x:c>
      <x:c r="I18" s="26" t="str">
        <x:v>OUI</x:v>
      </x:c>
      <x:c r="J18" s="26" t="str">
        <x:v>OUI</x:v>
      </x:c>
      <x:c r="K18" s="26" t="str">
        <x:v>OUI</x:v>
      </x:c>
      <x:c r="L18" s="26" t="str">
        <x:v>Ô Santé Sàrl</x:v>
      </x:c>
      <x:c r="M18" s="26" t="str">
        <x:v>Generalist home-care OSAD</x:v>
      </x:c>
      <x:c r="N18" s="26" t="str">
        <x:v>NEW — official provider</x:v>
      </x:c>
      <x:c r="O18" s="26" t="str"/>
    </x:row>
    <x:row r="19">
      <x:c r="A19" s="26" t="str">
        <x:v>Pôle Santé du Pays d'Enhaut</x:v>
      </x:c>
      <x:c r="B19" s="26" t="str">
        <x:v>Monsieur Yvon JEANBOURQUIN</x:v>
      </x:c>
      <x:c r="C19" s="26" t="str">
        <x:v>Route de l'Hôpital 36</x:v>
      </x:c>
      <x:c r="D19" s="26" t="str">
        <x:v>1660 Château-d'Oex</x:v>
      </x:c>
      <x:c r="E19" s="26" t="str">
        <x:v>026 923 43 43</x:v>
      </x:c>
      <x:c r="F19" s="26" t="str">
        <x:v>info@pspe.ch</x:v>
      </x:c>
      <x:c r="G19" s="26" t="str">
        <x:v>www.pspe.ch</x:v>
      </x:c>
      <x:c r="H19" s="26" t="str">
        <x:v>OUI</x:v>
      </x:c>
      <x:c r="I19" s="26"/>
      <x:c r="J19" s="26"/>
      <x:c r="K19" s="26"/>
      <x:c r="L19" s="26" t="str">
        <x:v>Pôle Santé du Pays-d'Enhaut</x:v>
      </x:c>
      <x:c r="M19" s="26" t="str">
        <x:v>CMS / home-care institutional operator</x:v>
      </x:c>
      <x:c r="N19" s="26" t="str">
        <x:v>STRUCTURAL REVIEW — overlaps CMS universe</x:v>
      </x:c>
      <x:c r="O19" s="26" t="str">
        <x:v>Also operates the delegated Pays-d'Enhaut CMS service; avoid duplicate patient-facing listings until structure is resolved.</x:v>
      </x:c>
    </x:row>
    <x:row r="20">
      <x:c r="A20" s="26" t="str">
        <x:v>PROXI-SOINS Sàrl</x:v>
      </x:c>
      <x:c r="B20" s="26" t="str">
        <x:v>Madame Rolande RUFFIEUX</x:v>
      </x:c>
      <x:c r="C20" s="26" t="str">
        <x:v>Allée du Rionzi 1</x:v>
      </x:c>
      <x:c r="D20" s="26" t="str">
        <x:v>1028 Préverenges </x:v>
      </x:c>
      <x:c r="E20" s="26" t="str">
        <x:v>0800 087 087
021 948 87 43</x:v>
      </x:c>
      <x:c r="F20" s="26" t="str">
        <x:v>proxi-soins@hin.ch</x:v>
      </x:c>
      <x:c r="G20" s="26" t="str">
        <x:v>www.proxi-soins.ch</x:v>
      </x:c>
      <x:c r="H20" s="26" t="str">
        <x:v>OUI</x:v>
      </x:c>
      <x:c r="I20" s="26" t="str">
        <x:v>OUI</x:v>
      </x:c>
      <x:c r="J20" s="26" t="str">
        <x:v>OUI</x:v>
      </x:c>
      <x:c r="K20" s="26" t="str">
        <x:v>OUI</x:v>
      </x:c>
      <x:c r="L20" s="26" t="str">
        <x:v>Proxi-Soins Sàrl</x:v>
      </x:c>
      <x:c r="M20" s="26" t="str">
        <x:v>Generalist home-care OSAD</x:v>
      </x:c>
      <x:c r="N20" s="26" t="str">
        <x:v>NEW — official provider</x:v>
      </x:c>
      <x:c r="O20" s="26" t="str"/>
    </x:row>
    <x:row r="21">
      <x:c r="A21" s="26" t="str">
        <x:v>Qualis Vita La Côte SA</x:v>
      </x:c>
      <x:c r="B21" s="26" t="str">
        <x:v>Monsieur Julien BLÖCHLINGER</x:v>
      </x:c>
      <x:c r="C21" s="26" t="str">
        <x:v>Route de Champ Colin 13</x:v>
      </x:c>
      <x:c r="D21" s="26" t="str">
        <x:v>1260 Nyon</x:v>
      </x:c>
      <x:c r="E21" s="26" t="str">
        <x:v>022 304 00 40 </x:v>
      </x:c>
      <x:c r="F21" s="26" t="str">
        <x:v>nyon@qualis-vita.ch</x:v>
      </x:c>
      <x:c r="G21" s="26" t="str">
        <x:v>www.qualis-vita.ch</x:v>
      </x:c>
      <x:c r="H21" s="26"/>
      <x:c r="I21" s="26" t="str">
        <x:v>OUI</x:v>
      </x:c>
      <x:c r="J21" s="26"/>
      <x:c r="K21" s="26" t="str">
        <x:v>OUI</x:v>
      </x:c>
      <x:c r="L21" s="26" t="str">
        <x:v>AMAD Homecare La Côte SA</x:v>
      </x:c>
      <x:c r="M21" s="26" t="str">
        <x:v>Generalist / commercial network</x:v>
      </x:c>
      <x:c r="N21" s="26" t="str">
        <x:v>RESOLVE STRUCTURE — current rename / AMAD Nyon</x:v>
      </x:c>
      <x:c r="O21" s="26" t="str">
        <x:v>Official workbook is stale on name: entity CHE-179.178.928 was renamed AMAD Homecare La Côte SA in Aug 2025; current regional directory shows AMAD Homecare Nyon.</x:v>
      </x:c>
    </x:row>
    <x:row r="22">
      <x:c r="A22" s="26" t="str">
        <x:v>Saraï, La-solution.ch SA</x:v>
      </x:c>
      <x:c r="B22" s="26" t="str">
        <x:v>Monsieur Mourade DJAOUTI</x:v>
      </x:c>
      <x:c r="C22" s="26" t="str">
        <x:v>En Chamard 41 C</x:v>
      </x:c>
      <x:c r="D22" s="26" t="str">
        <x:v>1442 Montagny-près-Yverdon</x:v>
      </x:c>
      <x:c r="E22" s="26" t="str">
        <x:v>0800 002 004</x:v>
      </x:c>
      <x:c r="F22" s="26" t="str">
        <x:v>service-clients@la-solution.ch</x:v>
      </x:c>
      <x:c r="G22" s="26" t="str">
        <x:v>www.la-solution.ch</x:v>
      </x:c>
      <x:c r="H22" s="26" t="str">
        <x:v>OUI</x:v>
      </x:c>
      <x:c r="I22" s="26" t="str">
        <x:v>OUI</x:v>
      </x:c>
      <x:c r="J22" s="26" t="str">
        <x:v>OUI</x:v>
      </x:c>
      <x:c r="K22" s="26" t="str">
        <x:v>OUI</x:v>
      </x:c>
      <x:c r="L22" s="26" t="str">
        <x:v>La-solution.ch (Saraï, La-solution.ch SA)</x:v>
      </x:c>
      <x:c r="M22" s="26" t="str">
        <x:v>Generalist / commercial network</x:v>
      </x:c>
      <x:c r="N22" s="26" t="str">
        <x:v>NEW — official provider</x:v>
      </x:c>
      <x:c r="O22" s="26" t="str"/>
    </x:row>
    <x:row r="23">
      <x:c r="A23" s="26" t="str">
        <x:v>SBV Medical Sàrl</x:v>
      </x:c>
      <x:c r="B23" s="26" t="str">
        <x:v>Madame Jovanovic BOGDANKA</x:v>
      </x:c>
      <x:c r="C23" s="26" t="str">
        <x:v>Avenue des Alpes 1</x:v>
      </x:c>
      <x:c r="D23" s="26" t="str">
        <x:v>1820 Montreux</x:v>
      </x:c>
      <x:c r="E23" s="26" t="str">
        <x:v>058 455 05 05</x:v>
      </x:c>
      <x:c r="F23" s="26" t="str">
        <x:v>sbvmedical@hin.ch; </x:v>
      </x:c>
      <x:c r="G23" s="26" t="str">
        <x:v>www.sbv-medical.ch</x:v>
      </x:c>
      <x:c r="H23" s="26" t="str">
        <x:v>OUI</x:v>
      </x:c>
      <x:c r="I23" s="26" t="str">
        <x:v>OUI</x:v>
      </x:c>
      <x:c r="J23" s="26"/>
      <x:c r="K23" s="26" t="str">
        <x:v>OUI</x:v>
      </x:c>
      <x:c r="L23" s="26" t="str">
        <x:v>SBV Medical Sàrl</x:v>
      </x:c>
      <x:c r="M23" s="26" t="str">
        <x:v>Home-care / specialist provider</x:v>
      </x:c>
      <x:c r="N23" s="26" t="str">
        <x:v>NEW — official provider</x:v>
      </x:c>
      <x:c r="O23" s="26" t="str"/>
    </x:row>
    <x:row r="24">
      <x:c r="A24" s="26" t="str">
        <x:v>Senevita AG</x:v>
      </x:c>
      <x:c r="B24" s="26" t="str">
        <x:v>Monsieur Daniel BRAUN</x:v>
      </x:c>
      <x:c r="C24" s="26" t="str">
        <x:v>Avenue des Baumettes 3</x:v>
      </x:c>
      <x:c r="D24" s="26" t="str">
        <x:v>1020 Renens</x:v>
      </x:c>
      <x:c r="E24" s="26" t="str">
        <x:v>021 311 19 20</x:v>
      </x:c>
      <x:c r="F24" s="26" t="str">
        <x:v>vaud@senevita.ch</x:v>
      </x:c>
      <x:c r="G24" s="26" t="str">
        <x:v>www.spitexvillecampagne.ch</x:v>
      </x:c>
      <x:c r="H24" s="26" t="str">
        <x:v>OUI</x:v>
      </x:c>
      <x:c r="I24" s="26" t="str">
        <x:v>OUI</x:v>
      </x:c>
      <x:c r="J24" s="26" t="str">
        <x:v>OUI</x:v>
      </x:c>
      <x:c r="K24" s="26" t="str">
        <x:v>OUI</x:v>
      </x:c>
      <x:c r="L24" s="26" t="str">
        <x:v>Senevita Casa Vaud (Senevita AG)</x:v>
      </x:c>
      <x:c r="M24" s="26" t="str">
        <x:v>Generalist / commercial network</x:v>
      </x:c>
      <x:c r="N24" s="26" t="str">
        <x:v>KEEP EXISTING — senevita-vaud</x:v>
      </x:c>
      <x:c r="O24" s="26" t="str">
        <x:v>Public-facing Vaud brand is Senevita Casa Vaud; official workbook still links the older Spitex Ville et Campagne domain.</x:v>
      </x:c>
    </x:row>
    <x:row r="25">
      <x:c r="A25" s="26" t="str">
        <x:v>Sitex SA</x:v>
      </x:c>
      <x:c r="B25" s="26" t="str">
        <x:v>Madame Chloé LACROIX</x:v>
      </x:c>
      <x:c r="C25" s="26" t="str">
        <x:v>Route des Avouillons 30</x:v>
      </x:c>
      <x:c r="D25" s="26" t="str">
        <x:v>1196 Gland</x:v>
      </x:c>
      <x:c r="E25" s="26" t="str">
        <x:v>0848 11 00 01</x:v>
      </x:c>
      <x:c r="F25" s="26" t="str">
        <x:v>info@sitexsa.ch</x:v>
      </x:c>
      <x:c r="G25" s="26" t="str">
        <x:v>www.sitexsa.ch</x:v>
      </x:c>
      <x:c r="H25" s="26"/>
      <x:c r="I25" s="26" t="str">
        <x:v>OUI</x:v>
      </x:c>
      <x:c r="J25" s="26"/>
      <x:c r="K25" s="26" t="str">
        <x:v>OUI</x:v>
      </x:c>
      <x:c r="L25" s="26" t="str">
        <x:v>Sitex SA</x:v>
      </x:c>
      <x:c r="M25" s="26" t="str">
        <x:v>Specialist/national home-care OSAD</x:v>
      </x:c>
      <x:c r="N25" s="26" t="str">
        <x:v>NEW — specialist provider</x:v>
      </x:c>
      <x:c r="O25" s="26" t="str"/>
    </x:row>
    <x:row r="26">
      <x:c r="A26" s="26" t="str">
        <x:v>Soins Riviera Sàrl</x:v>
      </x:c>
      <x:c r="B26" s="26" t="str">
        <x:v>Madame Valérie SEREX LEGROTTAGLIE</x:v>
      </x:c>
      <x:c r="C26" s="26" t="str">
        <x:v>Chemin du Pierrier 1</x:v>
      </x:c>
      <x:c r="D26" s="26" t="str">
        <x:v>1815 Clarens</x:v>
      </x:c>
      <x:c r="E26" s="26" t="str">
        <x:v>021 965 15 15</x:v>
      </x:c>
      <x:c r="F26" s="26" t="str">
        <x:v>info@soinsriviera.ch</x:v>
      </x:c>
      <x:c r="G26" s="26" t="str">
        <x:v>www.soinsriviera.ch</x:v>
      </x:c>
      <x:c r="H26" s="26" t="str">
        <x:v>OUI</x:v>
      </x:c>
      <x:c r="I26" s="26"/>
      <x:c r="J26" s="26"/>
      <x:c r="K26" s="26"/>
      <x:c r="L26" s="26" t="str">
        <x:v>Soins Riviera Sàrl</x:v>
      </x:c>
      <x:c r="M26" s="26" t="str">
        <x:v>Generalist home-care OSAD</x:v>
      </x:c>
      <x:c r="N26" s="26" t="str">
        <x:v>NEW — official provider</x:v>
      </x:c>
      <x:c r="O26" s="26" t="str"/>
    </x:row>
    <x:row r="27">
      <x:c r="A27" s="26" t="str">
        <x:v>Swiss Agi San Sàrl</x:v>
      </x:c>
      <x:c r="B27" s="26" t="str">
        <x:v>Monsieur Joaquim MATEUS</x:v>
      </x:c>
      <x:c r="C27" s="26" t="str">
        <x:v>Rue de la Gare 11</x:v>
      </x:c>
      <x:c r="D27" s="26" t="str">
        <x:v>1860 Aigle</x:v>
      </x:c>
      <x:c r="E27" s="26" t="str">
        <x:v>021 558 71 71</x:v>
      </x:c>
      <x:c r="F27" s="26" t="str">
        <x:v>info@swissagisan.ch</x:v>
      </x:c>
      <x:c r="G27" s="26" t="str">
        <x:v>www.swissagisan.ch</x:v>
      </x:c>
      <x:c r="H27" s="26" t="str">
        <x:v>OUI</x:v>
      </x:c>
      <x:c r="I27" s="26"/>
      <x:c r="J27" s="26"/>
      <x:c r="K27" s="26"/>
      <x:c r="L27" s="26" t="str">
        <x:v>Swiss Agi San Sàrl</x:v>
      </x:c>
      <x:c r="M27" s="26" t="str">
        <x:v>Generalist home-care OSAD</x:v>
      </x:c>
      <x:c r="N27" s="26" t="str">
        <x:v>NEW — official provider</x:v>
      </x:c>
      <x:c r="O27" s="26" t="str"/>
    </x:row>
    <x:row r="28">
      <x:c r="A28" s="26" t="str">
        <x:v>Swisscaring Vaud SARL</x:v>
      </x:c>
      <x:c r="B28" s="26" t="str">
        <x:v>Monsieur Anthony GAILLARD</x:v>
      </x:c>
      <x:c r="C28" s="26" t="str">
        <x:v>En Budron E7</x:v>
      </x:c>
      <x:c r="D28" s="26" t="str">
        <x:v>1052 Le Mont-sur-Lausanne</x:v>
      </x:c>
      <x:c r="E28" s="26" t="str">
        <x:v>021 651 09 10</x:v>
      </x:c>
      <x:c r="F28" s="26" t="str">
        <x:v>info@swisscaring.ch</x:v>
      </x:c>
      <x:c r="G28" s="26" t="str">
        <x:v>www.swisscaring.ch</x:v>
      </x:c>
      <x:c r="H28" s="26" t="str">
        <x:v>OUI</x:v>
      </x:c>
      <x:c r="I28" s="26"/>
      <x:c r="J28" s="26" t="str">
        <x:v>OUI</x:v>
      </x:c>
      <x:c r="K28" s="26"/>
      <x:c r="L28" s="26" t="str">
        <x:v>Swisscaring Vaud Sàrl</x:v>
      </x:c>
      <x:c r="M28" s="26" t="str">
        <x:v>Generalist home-care OSAD</x:v>
      </x:c>
      <x:c r="N28" s="26" t="str">
        <x:v>NEW — official provider</x:v>
      </x:c>
      <x:c r="O28" s="26" t="str"/>
    </x:row>
    <x:row r="29">
      <x:c r="A29" s="26" t="str">
        <x:v>Val'Soins Sàrl</x:v>
      </x:c>
      <x:c r="B29" s="26" t="str">
        <x:v>Madame Nathalie BERSET</x:v>
      </x:c>
      <x:c r="C29" s="26" t="str">
        <x:v>Chemin des Ecureuils 15</x:v>
      </x:c>
      <x:c r="D29" s="26" t="str">
        <x:v>1347 Le Sentier</x:v>
      </x:c>
      <x:c r="E29" s="26" t="str">
        <x:v>079 200 08 52</x:v>
      </x:c>
      <x:c r="F29" s="26" t="str">
        <x:v>info@soins-valleedejoux.ch</x:v>
      </x:c>
      <x:c r="G29" s="26" t="str">
        <x:v>Pas de site web</x:v>
      </x:c>
      <x:c r="H29" s="26"/>
      <x:c r="I29" s="26"/>
      <x:c r="J29" s="26" t="str">
        <x:v>OUI</x:v>
      </x:c>
      <x:c r="K29" s="26"/>
      <x:c r="L29" s="26" t="str">
        <x:v>Val'Soins Sàrl</x:v>
      </x:c>
      <x:c r="M29" s="26" t="str">
        <x:v>Regional home-care OSAD</x:v>
      </x:c>
      <x:c r="N29" s="26" t="str">
        <x:v>NEW — official provider</x:v>
      </x:c>
      <x:c r="O29" s="26" t="str"/>
    </x:row>
    <x:row r="30">
      <x:c r="A30" s="26" t="str">
        <x:v>Vivradom Jura Nord Vaudois Sàrl </x:v>
      </x:c>
      <x:c r="B30" s="26" t="str">
        <x:v>Madame Ilkay DEMIRCAN</x:v>
      </x:c>
      <x:c r="C30" s="26" t="str">
        <x:v>Rue des Ducats 4</x:v>
      </x:c>
      <x:c r="D30" s="26" t="str">
        <x:v>1350 Orbe</x:v>
      </x:c>
      <x:c r="E30" s="26" t="str">
        <x:v>021 785 70 70</x:v>
      </x:c>
      <x:c r="F30" s="26" t="str">
        <x:v>vivradom@hin.ch</x:v>
      </x:c>
      <x:c r="G30" s="26" t="str">
        <x:v>www.vivradom.ch</x:v>
      </x:c>
      <x:c r="H30" s="26"/>
      <x:c r="I30" s="26"/>
      <x:c r="J30" s="26" t="str">
        <x:v>OUI</x:v>
      </x:c>
      <x:c r="K30" s="26"/>
      <x:c r="L30" s="26" t="str">
        <x:v>Vivradom Jura Nord Vaudois Sàrl</x:v>
      </x:c>
      <x:c r="M30" s="26" t="str">
        <x:v>Commercial/network home-care OSAD</x:v>
      </x:c>
      <x:c r="N30" s="26" t="str">
        <x:v>RESOLVE STRUCTURE — Vivradom relationship</x:v>
      </x:c>
      <x:c r="O30" s="26" t="str"/>
    </x:row>
    <x:row r="31">
      <x:c r="A31" s="26" t="str">
        <x:v>Vivradom Sàrl</x:v>
      </x:c>
      <x:c r="B31" s="26" t="str">
        <x:v>Madame Ilkay DEMIRCAN</x:v>
      </x:c>
      <x:c r="C31" s="26" t="str">
        <x:v>Rue du Simplon 5</x:v>
      </x:c>
      <x:c r="D31" s="26" t="str">
        <x:v>1020 Renens</x:v>
      </x:c>
      <x:c r="E31" s="26" t="str">
        <x:v>021 785 70 76</x:v>
      </x:c>
      <x:c r="F31" s="26" t="str">
        <x:v>vivradom@hin.ch</x:v>
      </x:c>
      <x:c r="G31" s="26" t="str">
        <x:v>www.vivradom.ch</x:v>
      </x:c>
      <x:c r="H31" s="26"/>
      <x:c r="I31" s="26" t="str">
        <x:v>OUI</x:v>
      </x:c>
      <x:c r="J31" s="26" t="str">
        <x:v>OUI</x:v>
      </x:c>
      <x:c r="K31" s="26" t="str">
        <x:v>OUI</x:v>
      </x:c>
      <x:c r="L31" s="26" t="str">
        <x:v>Vivradom Sàrl</x:v>
      </x:c>
      <x:c r="M31" s="26" t="str">
        <x:v>Commercial/network home-care OSAD</x:v>
      </x:c>
      <x:c r="N31" s="26" t="str">
        <x:v>RESOLVE STRUCTURE — Vivradom relationship</x:v>
      </x:c>
      <x:c r="O31" s="2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32" hidden="0" customWidth="1"/>
    <x:col min="4" max="4" width="15" hidden="0" customWidth="1"/>
    <x:col min="5" max="5" width="28" hidden="0" customWidth="1"/>
    <x:col min="6" max="6" width="22" hidden="0" customWidth="1"/>
    <x:col min="7" max="7" width="18" hidden="0" customWidth="1"/>
    <x:col min="8" max="8" width="30" hidden="0" customWidth="1"/>
    <x:col min="9" max="9" width="34" hidden="0" customWidth="1"/>
    <x:col min="10" max="10" width="36" hidden="0" customWidth="1"/>
    <x:col min="11" max="11" width="34" hidden="0" customWidth="1"/>
    <x:col min="12" max="12" width="38" hidden="0" customWidth="1"/>
    <x:col min="13" max="13" width="62" hidden="0" customWidth="1"/>
    <x:col min="14" max="14" width="44" hidden="0" customWidth="1"/>
  </x:cols>
  <x:sheetData>
    <x:row r="1">
      <x:c r="A1" s="34" t="str">
        <x:v>Canonical current name</x:v>
      </x:c>
      <x:c r="B1" s="26" t="str">
        <x:v>In official 02.03.2026 file?</x:v>
      </x:c>
      <x:c r="C1" s="26" t="str">
        <x:v>Official listed name</x:v>
      </x:c>
      <x:c r="D1" s="26" t="str">
        <x:v>Official workbook row</x:v>
      </x:c>
      <x:c r="E1" s="26" t="str">
        <x:v>Address</x:v>
      </x:c>
      <x:c r="F1" s="26" t="str">
        <x:v>Locality</x:v>
      </x:c>
      <x:c r="G1" s="26" t="str">
        <x:v>Phone</x:v>
      </x:c>
      <x:c r="H1" s="26" t="str">
        <x:v>Email</x:v>
      </x:c>
      <x:c r="I1" s="26" t="str">
        <x:v>Website</x:v>
      </x:c>
      <x:c r="J1" s="26" t="str">
        <x:v>Vaud / network evidence</x:v>
      </x:c>
      <x:c r="K1" s="26" t="str">
        <x:v>Provider class</x:v>
      </x:c>
      <x:c r="L1" s="26" t="str">
        <x:v>Recommended Lia action</x:v>
      </x:c>
      <x:c r="M1" s="26" t="str">
        <x:v>Key reconciliation note</x:v>
      </x:c>
      <x:c r="N1" s="26" t="str">
        <x:v>Primary source</x:v>
      </x:c>
    </x:row>
    <x:row r="2">
      <x:c r="A2" s="26" t="str">
        <x:v>1 Monde PatientS, société coopérative</x:v>
      </x:c>
      <x:c r="B2" s="26" t="str">
        <x:v>YES</x:v>
      </x:c>
      <x:c r="C2" s="26" t="str">
        <x:v>1 Monde PatientS</x:v>
      </x:c>
      <x:c r="D2" s="26" t="n">
        <x:v>3</x:v>
      </x:c>
      <x:c r="E2" s="26" t="str">
        <x:v>Chemin de la Repiaz 8a</x:v>
      </x:c>
      <x:c r="F2" s="26" t="str">
        <x:v>1417 Epautheyres</x:v>
      </x:c>
      <x:c r="G2" s="26" t="str">
        <x:v>076 414 40 35</x:v>
      </x:c>
      <x:c r="H2" s="26" t="str">
        <x:v>contact@1mondepatients.ch</x:v>
      </x:c>
      <x:c r="I2" s="26" t="str">
        <x:v>https://1mp.ch/</x:v>
      </x:c>
      <x:c r="J2" s="26" t="str">
        <x:v>Haut-Léman, La Côte</x:v>
      </x:c>
      <x:c r="K2" s="26" t="str">
        <x:v>Generalist home-care OSAD</x:v>
      </x:c>
      <x:c r="L2" s="26" t="str">
        <x:v>NEW — official provider</x:v>
      </x:c>
      <x:c r="M2" s="26" t="str"/>
      <x:c r="N2" s="26" t="str">
        <x:v>https://www.vd.ch/sante-soins-et-handicap/vivre-a-domicile/aide-a-domicile</x:v>
      </x:c>
    </x:row>
    <x:row r="3">
      <x:c r="A3" s="26" t="str">
        <x:v>AMAD Homecare SA</x:v>
      </x:c>
      <x:c r="B3" s="26" t="str">
        <x:v>YES</x:v>
      </x:c>
      <x:c r="C3" s="26" t="str">
        <x:v>AMAD Homecare Sàrl</x:v>
      </x:c>
      <x:c r="D3" s="26" t="n">
        <x:v>4</x:v>
      </x:c>
      <x:c r="E3" s="26" t="str">
        <x:v>Route de Taillepied 89</x:v>
      </x:c>
      <x:c r="F3" s="26" t="str">
        <x:v>1095 Lutry</x:v>
      </x:c>
      <x:c r="G3" s="26" t="str">
        <x:v>021 552 05 53</x:v>
      </x:c>
      <x:c r="H3" s="26" t="str">
        <x:v>info@amad-vaud.ch</x:v>
      </x:c>
      <x:c r="I3" s="26" t="str">
        <x:v>www.amad-vaud.ch</x:v>
      </x:c>
      <x:c r="J3" s="26" t="str">
        <x:v>Lausanne, Nord-Broye, La Côte</x:v>
      </x:c>
      <x:c r="K3" s="26" t="str">
        <x:v>Generalist / commercial network</x:v>
      </x:c>
      <x:c r="L3" s="26" t="str">
        <x:v>RESOLVE STRUCTURE — AMAD brand/sites</x:v>
      </x:c>
      <x:c r="M3" s="26" t="str">
        <x:v>Official workbook uses an old legal-form name. Current commercial-register name is AMAD Homecare SA (CHE-400.384.429).</x:v>
      </x:c>
      <x:c r="N3" s="26" t="str">
        <x:v>https://www.vd.ch/sante-soins-et-handicap/vivre-a-domicile/aide-a-domicile</x:v>
      </x:c>
    </x:row>
    <x:row r="4">
      <x:c r="A4" s="26" t="str">
        <x:v>C-VITAL Sàrl</x:v>
      </x:c>
      <x:c r="B4" s="26" t="str">
        <x:v>YES</x:v>
      </x:c>
      <x:c r="C4" s="26" t="str">
        <x:v>C-Vital Sàrl</x:v>
      </x:c>
      <x:c r="D4" s="26" t="n">
        <x:v>5</x:v>
      </x:c>
      <x:c r="E4" s="26" t="str">
        <x:v>Route de Palézieux 16</x:v>
      </x:c>
      <x:c r="F4" s="26" t="str">
        <x:v>1610 Oron-la-Ville</x:v>
      </x:c>
      <x:c r="G4" s="26" t="str">
        <x:v>021 907 88 88</x:v>
      </x:c>
      <x:c r="H4" s="26" t="str">
        <x:v>info@c-vital.ch</x:v>
      </x:c>
      <x:c r="I4" s="26" t="str">
        <x:v>https://c-vital.digitalone.site/</x:v>
      </x:c>
      <x:c r="J4" s="26" t="str">
        <x:v>Nord-Broye</x:v>
      </x:c>
      <x:c r="K4" s="26" t="str">
        <x:v>Generalist home-care OSAD</x:v>
      </x:c>
      <x:c r="L4" s="26" t="str">
        <x:v>NEW — official provider</x:v>
      </x:c>
      <x:c r="M4" s="26" t="str"/>
      <x:c r="N4" s="26" t="str">
        <x:v>https://www.vd.ch/sante-soins-et-handicap/vivre-a-domicile/aide-a-domicile</x:v>
      </x:c>
    </x:row>
    <x:row r="5">
      <x:c r="A5" s="26" t="str">
        <x:v>Fondation Beau-Séjour</x:v>
      </x:c>
      <x:c r="B5" s="26" t="str">
        <x:v>YES</x:v>
      </x:c>
      <x:c r="C5" s="26" t="str">
        <x:v>Fondation Beau-Séjour</x:v>
      </x:c>
      <x:c r="D5" s="26" t="n">
        <x:v>6</x:v>
      </x:c>
      <x:c r="E5" s="26" t="str">
        <x:v>Rue des Communaux 2</x:v>
      </x:c>
      <x:c r="F5" s="26" t="str">
        <x:v>1800 Vevey</x:v>
      </x:c>
      <x:c r="G5" s="26" t="str">
        <x:v>021 925 90 00</x:v>
      </x:c>
      <x:c r="H5" s="26" t="str">
        <x:v>direction@fondationbeausejour.ch</x:v>
      </x:c>
      <x:c r="I5" s="26" t="str">
        <x:v>www.fondationbeausejour.ch</x:v>
      </x:c>
      <x:c r="J5" s="26" t="str">
        <x:v>Haut-Léman</x:v>
      </x:c>
      <x:c r="K5" s="26" t="str">
        <x:v>Institution-linked home-care OSAD</x:v>
      </x:c>
      <x:c r="L5" s="26" t="str">
        <x:v>RESEARCH OFFERING — institution-linked</x:v>
      </x:c>
      <x:c r="M5" s="26" t="str"/>
      <x:c r="N5" s="26" t="str">
        <x:v>https://www.vd.ch/sante-soins-et-handicap/vivre-a-domicile/aide-a-domicile</x:v>
      </x:c>
    </x:row>
    <x:row r="6">
      <x:c r="A6" s="26" t="str">
        <x:v>Groupe Romand Prévention Traitement Plaies (GRPTP)</x:v>
      </x:c>
      <x:c r="B6" s="26" t="str">
        <x:v>YES</x:v>
      </x:c>
      <x:c r="C6" s="26" t="str">
        <x:v>Groupe Romand Prévention Traitement Plaies (GRPTP)</x:v>
      </x:c>
      <x:c r="D6" s="26" t="n">
        <x:v>7</x:v>
      </x:c>
      <x:c r="E6" s="26" t="str">
        <x:v>Impasse des Arbero 9 </x:v>
      </x:c>
      <x:c r="F6" s="26" t="str">
        <x:v>1699 Bouloz</x:v>
      </x:c>
      <x:c r="G6" s="26" t="str">
        <x:v>021 651 81 06</x:v>
      </x:c>
      <x:c r="H6" s="26" t="str">
        <x:v>info@grptp.ch</x:v>
      </x:c>
      <x:c r="I6" s="26" t="str">
        <x:v>www.grptp.ch</x:v>
      </x:c>
      <x:c r="J6" s="26" t="str">
        <x:v>Haut-Léman, Lausanne</x:v>
      </x:c>
      <x:c r="K6" s="26" t="str">
        <x:v>Specialist wound-care OSAD</x:v>
      </x:c>
      <x:c r="L6" s="26" t="str">
        <x:v>NEW — specialist provider</x:v>
      </x:c>
      <x:c r="M6" s="26" t="str"/>
      <x:c r="N6" s="26" t="str">
        <x:v>https://www.vd.ch/sante-soins-et-handicap/vivre-a-domicile/aide-a-domicile</x:v>
      </x:c>
    </x:row>
    <x:row r="7">
      <x:c r="A7" s="26" t="str">
        <x:v>OSAD Helvetia Sàrl</x:v>
      </x:c>
      <x:c r="B7" s="26" t="str">
        <x:v>YES</x:v>
      </x:c>
      <x:c r="C7" s="26" t="str">
        <x:v>Helvetia Sàrl OSAD</x:v>
      </x:c>
      <x:c r="D7" s="26" t="n">
        <x:v>8</x:v>
      </x:c>
      <x:c r="E7" s="26" t="str">
        <x:v>Route de Massongex 4</x:v>
      </x:c>
      <x:c r="F7" s="26" t="str">
        <x:v>1880 Bex</x:v>
      </x:c>
      <x:c r="G7" s="26" t="str">
        <x:v>024 472 11 47</x:v>
      </x:c>
      <x:c r="H7" s="26" t="str">
        <x:v>info@osad-helvetia.ch</x:v>
      </x:c>
      <x:c r="I7" s="26" t="str">
        <x:v>https://osad-helvetia.ch/</x:v>
      </x:c>
      <x:c r="J7" s="26" t="str">
        <x:v>Haut-Léman</x:v>
      </x:c>
      <x:c r="K7" s="26" t="str">
        <x:v>Generalist home-care OSAD</x:v>
      </x:c>
      <x:c r="L7" s="26" t="str">
        <x:v>NEW — official provider</x:v>
      </x:c>
      <x:c r="M7" s="26" t="str"/>
      <x:c r="N7" s="26" t="str">
        <x:v>https://www.vd.ch/sante-soins-et-handicap/vivre-a-domicile/aide-a-domicile</x:v>
      </x:c>
    </x:row>
    <x:row r="8">
      <x:c r="A8" s="26" t="str">
        <x:v>Home Assistance Sàrl</x:v>
      </x:c>
      <x:c r="B8" s="26" t="str">
        <x:v>YES</x:v>
      </x:c>
      <x:c r="C8" s="26" t="str">
        <x:v>Home Assistance Sàrl</x:v>
      </x:c>
      <x:c r="D8" s="26" t="n">
        <x:v>9</x:v>
      </x:c>
      <x:c r="E8" s="26" t="str">
        <x:v>Route Aloys-Fauquez 2</x:v>
      </x:c>
      <x:c r="F8" s="26" t="str">
        <x:v>1018 Lausanne</x:v>
      </x:c>
      <x:c r="G8" s="26" t="str">
        <x:v>0800 949 494</x:v>
      </x:c>
      <x:c r="H8" s="26" t="str">
        <x:v>info@homeassistance.ch</x:v>
      </x:c>
      <x:c r="I8" s="26" t="str">
        <x:v>www.homeassistance.ch</x:v>
      </x:c>
      <x:c r="J8" s="26" t="str">
        <x:v>Haut-Léman, Lausanne, Nord-Broye, La Côte</x:v>
      </x:c>
      <x:c r="K8" s="26" t="str">
        <x:v>Generalist home-care OSAD</x:v>
      </x:c>
      <x:c r="L8" s="26" t="str">
        <x:v>NEW — official provider</x:v>
      </x:c>
      <x:c r="M8" s="26" t="str"/>
      <x:c r="N8" s="26" t="str">
        <x:v>https://www.vd.ch/sante-soins-et-handicap/vivre-a-domicile/aide-a-domicile</x:v>
      </x:c>
    </x:row>
    <x:row r="9">
      <x:c r="A9" s="26" t="str">
        <x:v>Hygie-Soins Sàrl</x:v>
      </x:c>
      <x:c r="B9" s="26" t="str">
        <x:v>YES</x:v>
      </x:c>
      <x:c r="C9" s="26" t="str">
        <x:v>Hygie-Soins Sàrl</x:v>
      </x:c>
      <x:c r="D9" s="26" t="n">
        <x:v>10</x:v>
      </x:c>
      <x:c r="E9" s="26" t="str">
        <x:v>Chemin des Mésnages 3</x:v>
      </x:c>
      <x:c r="F9" s="26" t="str">
        <x:v>1522 Lucens</x:v>
      </x:c>
      <x:c r="G9" s="26" t="str">
        <x:v>079 899 59 85</x:v>
      </x:c>
      <x:c r="H9" s="26" t="str">
        <x:v>direction@hygie-soins.ch</x:v>
      </x:c>
      <x:c r="I9" s="26" t="str">
        <x:v>https://hygie-soins.ch/</x:v>
      </x:c>
      <x:c r="J9" s="26" t="str">
        <x:v>Haut-Léman, Lausanne, Nord-Broye, La Côte</x:v>
      </x:c>
      <x:c r="K9" s="26" t="str">
        <x:v>Generalist home-care OSAD</x:v>
      </x:c>
      <x:c r="L9" s="26" t="str">
        <x:v>NEW — official provider</x:v>
      </x:c>
      <x:c r="M9" s="26" t="str"/>
      <x:c r="N9" s="26" t="str">
        <x:v>https://www.vd.ch/sante-soins-et-handicap/vivre-a-domicile/aide-a-domicile</x:v>
      </x:c>
    </x:row>
    <x:row r="10">
      <x:c r="A10" s="26" t="str">
        <x:v>La Boîte O Services Sàrl</x:v>
      </x:c>
      <x:c r="B10" s="26" t="str">
        <x:v>YES</x:v>
      </x:c>
      <x:c r="C10" s="26" t="str">
        <x:v>La Boîte O Services Sàrl</x:v>
      </x:c>
      <x:c r="D10" s="26" t="n">
        <x:v>11</x:v>
      </x:c>
      <x:c r="E10" s="26" t="str">
        <x:v>Route des Vignerons 30</x:v>
      </x:c>
      <x:c r="F10" s="26" t="str">
        <x:v>1166 Perroy</x:v>
      </x:c>
      <x:c r="G10" s="26" t="str">
        <x:v>0800 00 44 33</x:v>
      </x:c>
      <x:c r="H10" s="26" t="str">
        <x:v>info@laboiteoservices.ch</x:v>
      </x:c>
      <x:c r="I10" s="26" t="str">
        <x:v>www.laboiteoservices.ch</x:v>
      </x:c>
      <x:c r="J10" s="26" t="str">
        <x:v>Haut-Léman, Lausanne, Nord-Broye, La Côte</x:v>
      </x:c>
      <x:c r="K10" s="26" t="str">
        <x:v>Generalist home-care OSAD</x:v>
      </x:c>
      <x:c r="L10" s="26" t="str">
        <x:v>NEW — official provider</x:v>
      </x:c>
      <x:c r="M10" s="26" t="str"/>
      <x:c r="N10" s="26" t="str">
        <x:v>https://www.vd.ch/sante-soins-et-handicap/vivre-a-domicile/aide-a-domicile</x:v>
      </x:c>
    </x:row>
    <x:row r="11">
      <x:c r="A11" s="26" t="str">
        <x:v>La Source à domicile Sàrl</x:v>
      </x:c>
      <x:c r="B11" s="26" t="str">
        <x:v>YES</x:v>
      </x:c>
      <x:c r="C11" s="26" t="str">
        <x:v>La Source à domicile Sàrl</x:v>
      </x:c>
      <x:c r="D11" s="26" t="n">
        <x:v>12</x:v>
      </x:c>
      <x:c r="E11" s="26" t="str">
        <x:v>Avenue des Bergières 10</x:v>
      </x:c>
      <x:c r="F11" s="26" t="str">
        <x:v>1004 Lausanne</x:v>
      </x:c>
      <x:c r="G11" s="26" t="str">
        <x:v>021 310 73 00</x:v>
      </x:c>
      <x:c r="H11" s="26" t="str">
        <x:v>soinsadomicile@lasource.ch</x:v>
      </x:c>
      <x:c r="I11" s="26" t="str">
        <x:v>www.lasource.ch</x:v>
      </x:c>
      <x:c r="J11" s="26" t="str">
        <x:v>Haut-Léman, Lausanne, Nord-Broye, La Côte</x:v>
      </x:c>
      <x:c r="K11" s="26" t="str">
        <x:v>Generalist home-care OSAD</x:v>
      </x:c>
      <x:c r="L11" s="26" t="str">
        <x:v>NEW — official provider</x:v>
      </x:c>
      <x:c r="M11" s="26" t="str"/>
      <x:c r="N11" s="26" t="str">
        <x:v>https://www.vd.ch/sante-soins-et-handicap/vivre-a-domicile/aide-a-domicile</x:v>
      </x:c>
    </x:row>
    <x:row r="12">
      <x:c r="A12" s="26" t="str">
        <x:v>Les Soins Volants Sàrl</x:v>
      </x:c>
      <x:c r="B12" s="26" t="str">
        <x:v>YES</x:v>
      </x:c>
      <x:c r="C12" s="26" t="str">
        <x:v>Les Soins Volants Sàrl</x:v>
      </x:c>
      <x:c r="D12" s="26" t="n">
        <x:v>13</x:v>
      </x:c>
      <x:c r="E12" s="26" t="str">
        <x:v>Avenue Bosquets de Julie 8</x:v>
      </x:c>
      <x:c r="F12" s="26" t="str">
        <x:v>1815 Clarens</x:v>
      </x:c>
      <x:c r="G12" s="26" t="str">
        <x:v>021 888 02 02</x:v>
      </x:c>
      <x:c r="H12" s="26" t="str">
        <x:v>info@soinsvolants.ch</x:v>
      </x:c>
      <x:c r="I12" s="26" t="str">
        <x:v>www.soinsvolants.ch</x:v>
      </x:c>
      <x:c r="J12" s="26" t="str">
        <x:v>Haut-Léman, Lausanne, Nord-Broye, La Côte</x:v>
      </x:c>
      <x:c r="K12" s="26" t="str">
        <x:v>Generalist home-care OSAD</x:v>
      </x:c>
      <x:c r="L12" s="26" t="str">
        <x:v>NEW — official provider</x:v>
      </x:c>
      <x:c r="M12" s="26" t="str"/>
      <x:c r="N12" s="26" t="str">
        <x:v>https://www.vd.ch/sante-soins-et-handicap/vivre-a-domicile/aide-a-domicile</x:v>
      </x:c>
    </x:row>
    <x:row r="13">
      <x:c r="A13" s="26" t="str">
        <x:v>Le Levant / Fondation du Levant</x:v>
      </x:c>
      <x:c r="B13" s="26" t="str">
        <x:v>YES</x:v>
      </x:c>
      <x:c r="C13" s="26" t="str">
        <x:v>Levant (Fondation du Levant)</x:v>
      </x:c>
      <x:c r="D13" s="26" t="n">
        <x:v>14</x:v>
      </x:c>
      <x:c r="E13" s="26" t="str">
        <x:v>Chemin du Levant 159</x:v>
      </x:c>
      <x:c r="F13" s="26" t="str">
        <x:v>1005 Lausanne</x:v>
      </x:c>
      <x:c r="G13" s="26" t="str">
        <x:v>021 721 41 11</x:v>
      </x:c>
      <x:c r="H13" s="26" t="str">
        <x:v>osad@levant.ch</x:v>
      </x:c>
      <x:c r="I13" s="26" t="str">
        <x:v>www.levant.ch</x:v>
      </x:c>
      <x:c r="J13" s="26" t="str">
        <x:v>Lausanne, La Côte</x:v>
      </x:c>
      <x:c r="K13" s="26" t="str">
        <x:v>Institution-linked home-care OSAD</x:v>
      </x:c>
      <x:c r="L13" s="26" t="str">
        <x:v>RESEARCH OFFERING — institution-linked</x:v>
      </x:c>
      <x:c r="M13" s="26" t="str"/>
      <x:c r="N13" s="26" t="str">
        <x:v>https://www.vd.ch/sante-soins-et-handicap/vivre-a-domicile/aide-a-domicile</x:v>
      </x:c>
    </x:row>
    <x:row r="14">
      <x:c r="A14" s="26" t="str">
        <x:v>Ligue pulmonaire vaudoise</x:v>
      </x:c>
      <x:c r="B14" s="26" t="str">
        <x:v>YES</x:v>
      </x:c>
      <x:c r="C14" s="26" t="str">
        <x:v>Ligue pulmonaire vaudoise</x:v>
      </x:c>
      <x:c r="D14" s="26" t="n">
        <x:v>15</x:v>
      </x:c>
      <x:c r="E14" s="26" t="str">
        <x:v>Avenue de Provence 4</x:v>
      </x:c>
      <x:c r="F14" s="26" t="str">
        <x:v>1007 Lausanne</x:v>
      </x:c>
      <x:c r="G14" s="26" t="str">
        <x:v>021 623 38 00   </x:v>
      </x:c>
      <x:c r="H14" s="26" t="str">
        <x:v>info@lpvd.ch</x:v>
      </x:c>
      <x:c r="I14" s="26" t="str">
        <x:v>www.liguepulmonaire.ch</x:v>
      </x:c>
      <x:c r="J14" s="26" t="str">
        <x:v>Haut-Léman, Lausanne, Nord-Broye, La Côte</x:v>
      </x:c>
      <x:c r="K14" s="26" t="str">
        <x:v>Specialist respiratory OSAD</x:v>
      </x:c>
      <x:c r="L14" s="26" t="str">
        <x:v>NEW — specialist provider</x:v>
      </x:c>
      <x:c r="M14" s="26" t="str"/>
      <x:c r="N14" s="26" t="str">
        <x:v>https://www.vd.ch/sante-soins-et-handicap/vivre-a-domicile/aide-a-domicile</x:v>
      </x:c>
    </x:row>
    <x:row r="15">
      <x:c r="A15" s="26" t="str">
        <x:v>Méditrine SA</x:v>
      </x:c>
      <x:c r="B15" s="26" t="str">
        <x:v>YES</x:v>
      </x:c>
      <x:c r="C15" s="26" t="str">
        <x:v>Méditrine SA</x:v>
      </x:c>
      <x:c r="D15" s="26" t="n">
        <x:v>16</x:v>
      </x:c>
      <x:c r="E15" s="26" t="str">
        <x:v>Route de la Maladière 4</x:v>
      </x:c>
      <x:c r="F15" s="26" t="str">
        <x:v>1022 Chavannes-près-Renens</x:v>
      </x:c>
      <x:c r="G15" s="26" t="str">
        <x:v>021 691 94 94</x:v>
      </x:c>
      <x:c r="H15" s="26" t="str">
        <x:v>info@meditrine.ch</x:v>
      </x:c>
      <x:c r="I15" s="26" t="str">
        <x:v>www.meditrine.ch/fr/</x:v>
      </x:c>
      <x:c r="J15" s="26" t="str">
        <x:v>Haut-Léman, Lausanne, Nord-Broye</x:v>
      </x:c>
      <x:c r="K15" s="26" t="str">
        <x:v>Generalist home-care OSAD</x:v>
      </x:c>
      <x:c r="L15" s="26" t="str">
        <x:v>NEW — official provider</x:v>
      </x:c>
      <x:c r="M15" s="26" t="str"/>
      <x:c r="N15" s="26" t="str">
        <x:v>https://www.vd.ch/sante-soins-et-handicap/vivre-a-domicile/aide-a-domicile</x:v>
      </x:c>
    </x:row>
    <x:row r="16">
      <x:c r="A16" s="26" t="str">
        <x:v>MSG Soins Sàrl</x:v>
      </x:c>
      <x:c r="B16" s="26" t="str">
        <x:v>YES</x:v>
      </x:c>
      <x:c r="C16" s="26" t="str">
        <x:v>MSG Soins Sàrl</x:v>
      </x:c>
      <x:c r="D16" s="26" t="n">
        <x:v>17</x:v>
      </x:c>
      <x:c r="E16" s="26" t="str">
        <x:v>Route de Brent 13F</x:v>
      </x:c>
      <x:c r="F16" s="26" t="str">
        <x:v>1816 Chailly-Montreux</x:v>
      </x:c>
      <x:c r="G16" s="26" t="str">
        <x:v>021 944 03 95</x:v>
      </x:c>
      <x:c r="H16" s="26" t="str">
        <x:v>info@msgsoins.ch</x:v>
      </x:c>
      <x:c r="I16" s="26" t="str">
        <x:v>www.msgsoins.ch</x:v>
      </x:c>
      <x:c r="J16" s="26" t="str">
        <x:v>Haut-Léman</x:v>
      </x:c>
      <x:c r="K16" s="26" t="str">
        <x:v>Generalist home-care OSAD</x:v>
      </x:c>
      <x:c r="L16" s="26" t="str">
        <x:v>NEW — official provider</x:v>
      </x:c>
      <x:c r="M16" s="26" t="str"/>
      <x:c r="N16" s="26" t="str">
        <x:v>https://www.vd.ch/sante-soins-et-handicap/vivre-a-domicile/aide-a-domicile</x:v>
      </x:c>
    </x:row>
    <x:row r="17">
      <x:c r="A17" s="26" t="str">
        <x:v>NOMàD (Fondation Espace)</x:v>
      </x:c>
      <x:c r="B17" s="26" t="str">
        <x:v>YES</x:v>
      </x:c>
      <x:c r="C17" s="26" t="str">
        <x:v>NOMAD (Fondation Espace)</x:v>
      </x:c>
      <x:c r="D17" s="26" t="n">
        <x:v>18</x:v>
      </x:c>
      <x:c r="E17" s="26" t="str">
        <x:v>Rue du Collège 4 </x:v>
      </x:c>
      <x:c r="F17" s="26" t="str">
        <x:v>1400 Yverdon</x:v>
      </x:c>
      <x:c r="G17" s="26" t="str">
        <x:v>024 420 27 54</x:v>
      </x:c>
      <x:c r="H17" s="26" t="str">
        <x:v>nomad@fondation-espace.com</x:v>
      </x:c>
      <x:c r="I17" s="26" t="str">
        <x:v>www.nomad-osad.ch</x:v>
      </x:c>
      <x:c r="J17" s="26" t="str">
        <x:v>Nord-Broye</x:v>
      </x:c>
      <x:c r="K17" s="26" t="str">
        <x:v>Specialist psychiatric OSAD</x:v>
      </x:c>
      <x:c r="L17" s="26" t="str">
        <x:v>NEW — specialist provider</x:v>
      </x:c>
      <x:c r="M17" s="26" t="str"/>
      <x:c r="N17" s="26" t="str">
        <x:v>https://www.vd.ch/sante-soins-et-handicap/vivre-a-domicile/aide-a-domicile</x:v>
      </x:c>
    </x:row>
    <x:row r="18">
      <x:c r="A18" s="26" t="str">
        <x:v>Ô Santé Sàrl</x:v>
      </x:c>
      <x:c r="B18" s="26" t="str">
        <x:v>YES</x:v>
      </x:c>
      <x:c r="C18" s="26" t="str">
        <x:v>Ô Santé Sàrl</x:v>
      </x:c>
      <x:c r="D18" s="26" t="n">
        <x:v>19</x:v>
      </x:c>
      <x:c r="E18" s="26" t="str">
        <x:v>Rue d'Echallens 41A</x:v>
      </x:c>
      <x:c r="F18" s="26" t="str">
        <x:v>1041 Poliez-Pittet</x:v>
      </x:c>
      <x:c r="G18" s="26" t="str">
        <x:v>021 881 23 23</x:v>
      </x:c>
      <x:c r="H18" s="26" t="str">
        <x:v>info@o-sante.ch</x:v>
      </x:c>
      <x:c r="I18" s="26" t="str">
        <x:v>www.o-sante.ch</x:v>
      </x:c>
      <x:c r="J18" s="26" t="str">
        <x:v>Haut-Léman, Lausanne, Nord-Broye, La Côte</x:v>
      </x:c>
      <x:c r="K18" s="26" t="str">
        <x:v>Generalist home-care OSAD</x:v>
      </x:c>
      <x:c r="L18" s="26" t="str">
        <x:v>NEW — official provider</x:v>
      </x:c>
      <x:c r="M18" s="26" t="str"/>
      <x:c r="N18" s="26" t="str">
        <x:v>https://www.vd.ch/sante-soins-et-handicap/vivre-a-domicile/aide-a-domicile</x:v>
      </x:c>
    </x:row>
    <x:row r="19">
      <x:c r="A19" s="26" t="str">
        <x:v>Pôle Santé du Pays-d'Enhaut</x:v>
      </x:c>
      <x:c r="B19" s="26" t="str">
        <x:v>YES</x:v>
      </x:c>
      <x:c r="C19" s="26" t="str">
        <x:v>Pôle Santé du Pays d'Enhaut</x:v>
      </x:c>
      <x:c r="D19" s="26" t="n">
        <x:v>20</x:v>
      </x:c>
      <x:c r="E19" s="26" t="str">
        <x:v>Route de l'Hôpital 36</x:v>
      </x:c>
      <x:c r="F19" s="26" t="str">
        <x:v>1660 Château-d'Oex</x:v>
      </x:c>
      <x:c r="G19" s="26" t="str">
        <x:v>026 923 43 43</x:v>
      </x:c>
      <x:c r="H19" s="26" t="str">
        <x:v>info@pspe.ch</x:v>
      </x:c>
      <x:c r="I19" s="26" t="str">
        <x:v>www.pspe.ch</x:v>
      </x:c>
      <x:c r="J19" s="26" t="str">
        <x:v>Haut-Léman</x:v>
      </x:c>
      <x:c r="K19" s="26" t="str">
        <x:v>CMS / home-care institutional operator</x:v>
      </x:c>
      <x:c r="L19" s="26" t="str">
        <x:v>STRUCTURAL REVIEW — overlaps CMS universe</x:v>
      </x:c>
      <x:c r="M19" s="26" t="str">
        <x:v>Also operates the delegated Pays-d'Enhaut CMS service; avoid duplicate patient-facing listings until structure is resolved.</x:v>
      </x:c>
      <x:c r="N19" s="26" t="str">
        <x:v>https://www.vd.ch/sante-soins-et-handicap/vivre-a-domicile/aide-a-domicile</x:v>
      </x:c>
    </x:row>
    <x:row r="20">
      <x:c r="A20" s="26" t="str">
        <x:v>Proxi-Soins Sàrl</x:v>
      </x:c>
      <x:c r="B20" s="26" t="str">
        <x:v>YES</x:v>
      </x:c>
      <x:c r="C20" s="26" t="str">
        <x:v>PROXI-SOINS Sàrl</x:v>
      </x:c>
      <x:c r="D20" s="26" t="n">
        <x:v>21</x:v>
      </x:c>
      <x:c r="E20" s="26" t="str">
        <x:v>Allée du Rionzi 1</x:v>
      </x:c>
      <x:c r="F20" s="26" t="str">
        <x:v>1028 Préverenges </x:v>
      </x:c>
      <x:c r="G20" s="26" t="str">
        <x:v>0800 087 087
021 948 87 43</x:v>
      </x:c>
      <x:c r="H20" s="26" t="str">
        <x:v>proxi-soins@hin.ch</x:v>
      </x:c>
      <x:c r="I20" s="26" t="str">
        <x:v>www.proxi-soins.ch</x:v>
      </x:c>
      <x:c r="J20" s="26" t="str">
        <x:v>Haut-Léman, Lausanne, Nord-Broye, La Côte</x:v>
      </x:c>
      <x:c r="K20" s="26" t="str">
        <x:v>Generalist home-care OSAD</x:v>
      </x:c>
      <x:c r="L20" s="26" t="str">
        <x:v>NEW — official provider</x:v>
      </x:c>
      <x:c r="M20" s="26" t="str"/>
      <x:c r="N20" s="26" t="str">
        <x:v>https://www.vd.ch/sante-soins-et-handicap/vivre-a-domicile/aide-a-domicile</x:v>
      </x:c>
    </x:row>
    <x:row r="21">
      <x:c r="A21" s="26" t="str">
        <x:v>AMAD Homecare La Côte SA</x:v>
      </x:c>
      <x:c r="B21" s="26" t="str">
        <x:v>YES</x:v>
      </x:c>
      <x:c r="C21" s="26" t="str">
        <x:v>Qualis Vita La Côte SA</x:v>
      </x:c>
      <x:c r="D21" s="26" t="n">
        <x:v>22</x:v>
      </x:c>
      <x:c r="E21" s="26" t="str">
        <x:v>Route de Champ Colin 13</x:v>
      </x:c>
      <x:c r="F21" s="26" t="str">
        <x:v>1260 Nyon</x:v>
      </x:c>
      <x:c r="G21" s="26" t="str">
        <x:v>022 304 00 40 </x:v>
      </x:c>
      <x:c r="H21" s="26" t="str">
        <x:v>nyon@qualis-vita.ch</x:v>
      </x:c>
      <x:c r="I21" s="26" t="str">
        <x:v>www.qualis-vita.ch</x:v>
      </x:c>
      <x:c r="J21" s="26" t="str">
        <x:v>Lausanne, La Côte</x:v>
      </x:c>
      <x:c r="K21" s="26" t="str">
        <x:v>Generalist / commercial network</x:v>
      </x:c>
      <x:c r="L21" s="26" t="str">
        <x:v>RESOLVE STRUCTURE — current rename / AMAD Nyon</x:v>
      </x:c>
      <x:c r="M21" s="26" t="str">
        <x:v>Official workbook is stale on name: entity CHE-179.178.928 was renamed AMAD Homecare La Côte SA in Aug 2025; current regional directory shows AMAD Homecare Nyon.</x:v>
      </x:c>
      <x:c r="N21" s="26" t="str">
        <x:v>https://www.vd.ch/sante-soins-et-handicap/vivre-a-domicile/aide-a-domicile</x:v>
      </x:c>
    </x:row>
    <x:row r="22">
      <x:c r="A22" s="26" t="str">
        <x:v>La-solution.ch (Saraï, La-solution.ch SA)</x:v>
      </x:c>
      <x:c r="B22" s="26" t="str">
        <x:v>YES</x:v>
      </x:c>
      <x:c r="C22" s="26" t="str">
        <x:v>Saraï, La-solution.ch SA</x:v>
      </x:c>
      <x:c r="D22" s="26" t="n">
        <x:v>23</x:v>
      </x:c>
      <x:c r="E22" s="26" t="str">
        <x:v>En Chamard 41 C</x:v>
      </x:c>
      <x:c r="F22" s="26" t="str">
        <x:v>1442 Montagny-près-Yverdon</x:v>
      </x:c>
      <x:c r="G22" s="26" t="str">
        <x:v>0800 002 004</x:v>
      </x:c>
      <x:c r="H22" s="26" t="str">
        <x:v>service-clients@la-solution.ch</x:v>
      </x:c>
      <x:c r="I22" s="26" t="str">
        <x:v>www.la-solution.ch</x:v>
      </x:c>
      <x:c r="J22" s="26" t="str">
        <x:v>Haut-Léman, Lausanne, Nord-Broye, La Côte</x:v>
      </x:c>
      <x:c r="K22" s="26" t="str">
        <x:v>Generalist / commercial network</x:v>
      </x:c>
      <x:c r="L22" s="26" t="str">
        <x:v>NEW — official provider</x:v>
      </x:c>
      <x:c r="M22" s="26" t="str"/>
      <x:c r="N22" s="26" t="str">
        <x:v>https://www.vd.ch/sante-soins-et-handicap/vivre-a-domicile/aide-a-domicile</x:v>
      </x:c>
    </x:row>
    <x:row r="23">
      <x:c r="A23" s="26" t="str">
        <x:v>SBV Medical Sàrl</x:v>
      </x:c>
      <x:c r="B23" s="26" t="str">
        <x:v>YES</x:v>
      </x:c>
      <x:c r="C23" s="26" t="str">
        <x:v>SBV Medical Sàrl</x:v>
      </x:c>
      <x:c r="D23" s="26" t="n">
        <x:v>24</x:v>
      </x:c>
      <x:c r="E23" s="26" t="str">
        <x:v>Avenue des Alpes 1</x:v>
      </x:c>
      <x:c r="F23" s="26" t="str">
        <x:v>1820 Montreux</x:v>
      </x:c>
      <x:c r="G23" s="26" t="str">
        <x:v>058 455 05 05</x:v>
      </x:c>
      <x:c r="H23" s="26" t="str">
        <x:v>sbvmedical@hin.ch; </x:v>
      </x:c>
      <x:c r="I23" s="26" t="str">
        <x:v>www.sbv-medical.ch</x:v>
      </x:c>
      <x:c r="J23" s="26" t="str">
        <x:v>Haut-Léman, Lausanne, La Côte</x:v>
      </x:c>
      <x:c r="K23" s="26" t="str">
        <x:v>Home-care / specialist provider</x:v>
      </x:c>
      <x:c r="L23" s="26" t="str">
        <x:v>NEW — official provider</x:v>
      </x:c>
      <x:c r="M23" s="26" t="str"/>
      <x:c r="N23" s="26" t="str">
        <x:v>https://www.vd.ch/sante-soins-et-handicap/vivre-a-domicile/aide-a-domicile</x:v>
      </x:c>
    </x:row>
    <x:row r="24">
      <x:c r="A24" s="26" t="str">
        <x:v>Senevita Casa Vaud (Senevita AG)</x:v>
      </x:c>
      <x:c r="B24" s="26" t="str">
        <x:v>YES</x:v>
      </x:c>
      <x:c r="C24" s="26" t="str">
        <x:v>Senevita AG</x:v>
      </x:c>
      <x:c r="D24" s="26" t="n">
        <x:v>25</x:v>
      </x:c>
      <x:c r="E24" s="26" t="str">
        <x:v>Avenue des Baumettes 3</x:v>
      </x:c>
      <x:c r="F24" s="26" t="str">
        <x:v>1020 Renens</x:v>
      </x:c>
      <x:c r="G24" s="26" t="str">
        <x:v>021 311 19 20</x:v>
      </x:c>
      <x:c r="H24" s="26" t="str">
        <x:v>vaud@senevita.ch</x:v>
      </x:c>
      <x:c r="I24" s="26" t="str">
        <x:v>www.spitexvillecampagne.ch</x:v>
      </x:c>
      <x:c r="J24" s="26" t="str">
        <x:v>Haut-Léman, Lausanne, Nord-Broye, La Côte</x:v>
      </x:c>
      <x:c r="K24" s="26" t="str">
        <x:v>Generalist / commercial network</x:v>
      </x:c>
      <x:c r="L24" s="26" t="str">
        <x:v>KEEP EXISTING — senevita-vaud</x:v>
      </x:c>
      <x:c r="M24" s="26" t="str">
        <x:v>Public-facing Vaud brand is Senevita Casa Vaud; official workbook still links the older Spitex Ville et Campagne domain.</x:v>
      </x:c>
      <x:c r="N24" s="26" t="str">
        <x:v>https://www.vd.ch/sante-soins-et-handicap/vivre-a-domicile/aide-a-domicile</x:v>
      </x:c>
    </x:row>
    <x:row r="25">
      <x:c r="A25" s="26" t="str">
        <x:v>Sitex SA</x:v>
      </x:c>
      <x:c r="B25" s="26" t="str">
        <x:v>YES</x:v>
      </x:c>
      <x:c r="C25" s="26" t="str">
        <x:v>Sitex SA</x:v>
      </x:c>
      <x:c r="D25" s="26" t="n">
        <x:v>26</x:v>
      </x:c>
      <x:c r="E25" s="26" t="str">
        <x:v>Route des Avouillons 30</x:v>
      </x:c>
      <x:c r="F25" s="26" t="str">
        <x:v>1196 Gland</x:v>
      </x:c>
      <x:c r="G25" s="26" t="str">
        <x:v>0848 11 00 01</x:v>
      </x:c>
      <x:c r="H25" s="26" t="str">
        <x:v>info@sitexsa.ch</x:v>
      </x:c>
      <x:c r="I25" s="26" t="str">
        <x:v>www.sitexsa.ch</x:v>
      </x:c>
      <x:c r="J25" s="26" t="str">
        <x:v>Lausanne, La Côte</x:v>
      </x:c>
      <x:c r="K25" s="26" t="str">
        <x:v>Specialist/national home-care OSAD</x:v>
      </x:c>
      <x:c r="L25" s="26" t="str">
        <x:v>NEW — specialist provider</x:v>
      </x:c>
      <x:c r="M25" s="26" t="str"/>
      <x:c r="N25" s="26" t="str">
        <x:v>https://www.vd.ch/sante-soins-et-handicap/vivre-a-domicile/aide-a-domicile</x:v>
      </x:c>
    </x:row>
    <x:row r="26">
      <x:c r="A26" s="26" t="str">
        <x:v>Soins Riviera Sàrl</x:v>
      </x:c>
      <x:c r="B26" s="26" t="str">
        <x:v>YES</x:v>
      </x:c>
      <x:c r="C26" s="26" t="str">
        <x:v>Soins Riviera Sàrl</x:v>
      </x:c>
      <x:c r="D26" s="26" t="n">
        <x:v>27</x:v>
      </x:c>
      <x:c r="E26" s="26" t="str">
        <x:v>Chemin du Pierrier 1</x:v>
      </x:c>
      <x:c r="F26" s="26" t="str">
        <x:v>1815 Clarens</x:v>
      </x:c>
      <x:c r="G26" s="26" t="str">
        <x:v>021 965 15 15</x:v>
      </x:c>
      <x:c r="H26" s="26" t="str">
        <x:v>info@soinsriviera.ch</x:v>
      </x:c>
      <x:c r="I26" s="26" t="str">
        <x:v>www.soinsriviera.ch</x:v>
      </x:c>
      <x:c r="J26" s="26" t="str">
        <x:v>Haut-Léman</x:v>
      </x:c>
      <x:c r="K26" s="26" t="str">
        <x:v>Generalist home-care OSAD</x:v>
      </x:c>
      <x:c r="L26" s="26" t="str">
        <x:v>NEW — official provider</x:v>
      </x:c>
      <x:c r="M26" s="26" t="str"/>
      <x:c r="N26" s="26" t="str">
        <x:v>https://www.vd.ch/sante-soins-et-handicap/vivre-a-domicile/aide-a-domicile</x:v>
      </x:c>
    </x:row>
    <x:row r="27">
      <x:c r="A27" s="26" t="str">
        <x:v>Swiss Agi San Sàrl</x:v>
      </x:c>
      <x:c r="B27" s="26" t="str">
        <x:v>YES</x:v>
      </x:c>
      <x:c r="C27" s="26" t="str">
        <x:v>Swiss Agi San Sàrl</x:v>
      </x:c>
      <x:c r="D27" s="26" t="n">
        <x:v>28</x:v>
      </x:c>
      <x:c r="E27" s="26" t="str">
        <x:v>Rue de la Gare 11</x:v>
      </x:c>
      <x:c r="F27" s="26" t="str">
        <x:v>1860 Aigle</x:v>
      </x:c>
      <x:c r="G27" s="26" t="str">
        <x:v>021 558 71 71</x:v>
      </x:c>
      <x:c r="H27" s="26" t="str">
        <x:v>info@swissagisan.ch</x:v>
      </x:c>
      <x:c r="I27" s="26" t="str">
        <x:v>www.swissagisan.ch</x:v>
      </x:c>
      <x:c r="J27" s="26" t="str">
        <x:v>Haut-Léman</x:v>
      </x:c>
      <x:c r="K27" s="26" t="str">
        <x:v>Generalist home-care OSAD</x:v>
      </x:c>
      <x:c r="L27" s="26" t="str">
        <x:v>NEW — official provider</x:v>
      </x:c>
      <x:c r="M27" s="26" t="str"/>
      <x:c r="N27" s="26" t="str">
        <x:v>https://www.vd.ch/sante-soins-et-handicap/vivre-a-domicile/aide-a-domicile</x:v>
      </x:c>
    </x:row>
    <x:row r="28">
      <x:c r="A28" s="26" t="str">
        <x:v>Swisscaring Vaud Sàrl</x:v>
      </x:c>
      <x:c r="B28" s="26" t="str">
        <x:v>YES</x:v>
      </x:c>
      <x:c r="C28" s="26" t="str">
        <x:v>Swisscaring Vaud SARL</x:v>
      </x:c>
      <x:c r="D28" s="26" t="n">
        <x:v>29</x:v>
      </x:c>
      <x:c r="E28" s="26" t="str">
        <x:v>En Budron E7</x:v>
      </x:c>
      <x:c r="F28" s="26" t="str">
        <x:v>1052 Le Mont-sur-Lausanne</x:v>
      </x:c>
      <x:c r="G28" s="26" t="str">
        <x:v>021 651 09 10</x:v>
      </x:c>
      <x:c r="H28" s="26" t="str">
        <x:v>info@swisscaring.ch</x:v>
      </x:c>
      <x:c r="I28" s="26" t="str">
        <x:v>www.swisscaring.ch</x:v>
      </x:c>
      <x:c r="J28" s="26" t="str">
        <x:v>Haut-Léman, Nord-Broye</x:v>
      </x:c>
      <x:c r="K28" s="26" t="str">
        <x:v>Generalist home-care OSAD</x:v>
      </x:c>
      <x:c r="L28" s="26" t="str">
        <x:v>NEW — official provider</x:v>
      </x:c>
      <x:c r="M28" s="26" t="str"/>
      <x:c r="N28" s="26" t="str">
        <x:v>https://www.vd.ch/sante-soins-et-handicap/vivre-a-domicile/aide-a-domicile</x:v>
      </x:c>
    </x:row>
    <x:row r="29">
      <x:c r="A29" s="26" t="str">
        <x:v>Val'Soins Sàrl</x:v>
      </x:c>
      <x:c r="B29" s="26" t="str">
        <x:v>YES</x:v>
      </x:c>
      <x:c r="C29" s="26" t="str">
        <x:v>Val'Soins Sàrl</x:v>
      </x:c>
      <x:c r="D29" s="26" t="n">
        <x:v>30</x:v>
      </x:c>
      <x:c r="E29" s="26" t="str">
        <x:v>Chemin des Ecureuils 15</x:v>
      </x:c>
      <x:c r="F29" s="26" t="str">
        <x:v>1347 Le Sentier</x:v>
      </x:c>
      <x:c r="G29" s="26" t="str">
        <x:v>079 200 08 52</x:v>
      </x:c>
      <x:c r="H29" s="26" t="str">
        <x:v>info@soins-valleedejoux.ch</x:v>
      </x:c>
      <x:c r="I29" s="26" t="str">
        <x:v>Pas de site web</x:v>
      </x:c>
      <x:c r="J29" s="26" t="str">
        <x:v>Nord-Broye</x:v>
      </x:c>
      <x:c r="K29" s="26" t="str">
        <x:v>Regional home-care OSAD</x:v>
      </x:c>
      <x:c r="L29" s="26" t="str">
        <x:v>NEW — official provider</x:v>
      </x:c>
      <x:c r="M29" s="26" t="str"/>
      <x:c r="N29" s="26" t="str">
        <x:v>https://www.vd.ch/sante-soins-et-handicap/vivre-a-domicile/aide-a-domicile</x:v>
      </x:c>
    </x:row>
    <x:row r="30">
      <x:c r="A30" s="26" t="str">
        <x:v>Vivradom Jura Nord Vaudois Sàrl</x:v>
      </x:c>
      <x:c r="B30" s="26" t="str">
        <x:v>YES</x:v>
      </x:c>
      <x:c r="C30" s="26" t="str">
        <x:v>Vivradom Jura Nord Vaudois Sàrl</x:v>
      </x:c>
      <x:c r="D30" s="26" t="n">
        <x:v>31</x:v>
      </x:c>
      <x:c r="E30" s="26" t="str">
        <x:v>Rue des Ducats 4</x:v>
      </x:c>
      <x:c r="F30" s="26" t="str">
        <x:v>1350 Orbe</x:v>
      </x:c>
      <x:c r="G30" s="26" t="str">
        <x:v>021 785 70 70</x:v>
      </x:c>
      <x:c r="H30" s="26" t="str">
        <x:v>vivradom@hin.ch</x:v>
      </x:c>
      <x:c r="I30" s="26" t="str">
        <x:v>www.vivradom.ch</x:v>
      </x:c>
      <x:c r="J30" s="26" t="str">
        <x:v>Nord-Broye</x:v>
      </x:c>
      <x:c r="K30" s="26" t="str">
        <x:v>Commercial/network home-care OSAD</x:v>
      </x:c>
      <x:c r="L30" s="26" t="str">
        <x:v>RESOLVE STRUCTURE — Vivradom relationship</x:v>
      </x:c>
      <x:c r="M30" s="26" t="str"/>
      <x:c r="N30" s="26" t="str">
        <x:v>https://www.vd.ch/sante-soins-et-handicap/vivre-a-domicile/aide-a-domicile</x:v>
      </x:c>
    </x:row>
    <x:row r="31">
      <x:c r="A31" s="26" t="str">
        <x:v>Vivradom Sàrl</x:v>
      </x:c>
      <x:c r="B31" s="26" t="str">
        <x:v>YES</x:v>
      </x:c>
      <x:c r="C31" s="26" t="str">
        <x:v>Vivradom Sàrl</x:v>
      </x:c>
      <x:c r="D31" s="26" t="n">
        <x:v>32</x:v>
      </x:c>
      <x:c r="E31" s="26" t="str">
        <x:v>Rue du Simplon 5</x:v>
      </x:c>
      <x:c r="F31" s="26" t="str">
        <x:v>1020 Renens</x:v>
      </x:c>
      <x:c r="G31" s="26" t="str">
        <x:v>021 785 70 76</x:v>
      </x:c>
      <x:c r="H31" s="26" t="str">
        <x:v>vivradom@hin.ch</x:v>
      </x:c>
      <x:c r="I31" s="26" t="str">
        <x:v>www.vivradom.ch</x:v>
      </x:c>
      <x:c r="J31" s="26" t="str">
        <x:v>Lausanne, Nord-Broye, La Côte</x:v>
      </x:c>
      <x:c r="K31" s="26" t="str">
        <x:v>Commercial/network home-care OSAD</x:v>
      </x:c>
      <x:c r="L31" s="26" t="str">
        <x:v>RESOLVE STRUCTURE — Vivradom relationship</x:v>
      </x:c>
      <x:c r="M31" s="26" t="str"/>
      <x:c r="N31" s="26" t="str">
        <x:v>https://www.vd.ch/sante-soins-et-handicap/vivre-a-domicile/aide-a-domicile</x:v>
      </x:c>
    </x:row>
    <x:row r="32">
      <x:c r="A32" s="26" t="str">
        <x:v>Altoan SA</x:v>
      </x:c>
      <x:c r="B32" s="26" t="str">
        <x:v>NO</x:v>
      </x:c>
      <x:c r="C32" s="26" t="str"/>
      <x:c r="D32" s="26" t="str"/>
      <x:c r="E32" s="26" t="str">
        <x:v>Ch. des Travers-Bancs 4b</x:v>
      </x:c>
      <x:c r="F32" s="26" t="str">
        <x:v>1092 Belmont-sur-Lausanne</x:v>
      </x:c>
      <x:c r="G32" s="26" t="str">
        <x:v>058 590 99 88</x:v>
      </x:c>
      <x:c r="H32" s="26" t="str">
        <x:v>info@altoan.com</x:v>
      </x:c>
      <x:c r="I32" s="26" t="str">
        <x:v>https://altoan.com/</x:v>
      </x:c>
      <x:c r="J32" s="26" t="str">
        <x:v>Vaud / Valais / Geneva</x:v>
      </x:c>
      <x:c r="K32" s="26" t="str">
        <x:v>Non-medical accompaniment/support</x:v>
      </x:c>
      <x:c r="L32" s="26" t="str">
        <x:v>SEPARATE SUPPORT LISTING — not OSAD</x:v>
      </x:c>
      <x:c r="M32" s="26" t="str">
        <x:v>Provider explicitly states it is non-medical and privately financed. Do not model as a medical OSAD.</x:v>
      </x:c>
      <x:c r="N32" s="26" t="str">
        <x:v>https://altoan.com/contact</x:v>
      </x:c>
    </x:row>
    <x:row r="33">
      <x:c r="A33" s="26" t="str">
        <x:v>ASDR – Aide et Service à Domicile Romand Sàrl</x:v>
      </x:c>
      <x:c r="B33" s="26" t="str">
        <x:v>NO</x:v>
      </x:c>
      <x:c r="C33" s="26" t="str"/>
      <x:c r="D33" s="26" t="str"/>
      <x:c r="E33" s="26" t="str">
        <x:v>Avenue de Tourbillon 43</x:v>
      </x:c>
      <x:c r="F33" s="26" t="str">
        <x:v>1950 Sion</x:v>
      </x:c>
      <x:c r="G33" s="26" t="str">
        <x:v>024 566 75 45</x:v>
      </x:c>
      <x:c r="H33" s="26" t="str">
        <x:v>contact@asdr.ch</x:v>
      </x:c>
      <x:c r="I33" s="26" t="str">
        <x:v>https://www.asdr.ch/</x:v>
      </x:c>
      <x:c r="J33" s="26" t="str">
        <x:v>Chablais vaudois + Valais</x:v>
      </x:c>
      <x:c r="K33" s="26" t="str">
        <x:v>Extra-cantonal Type-1 home-care OSAD</x:v>
      </x:c>
      <x:c r="L33" s="26" t="str">
        <x:v>NEW CANDIDATE — extra-cantonal Vaud coverage</x:v>
      </x:c>
      <x:c r="M33" s="26" t="str">
        <x:v>Current provider and Haut-Léman sources explicitly state Chablais vaudois coverage. Official workbook notes extra-cantonal OSADs may be omitted.</x:v>
      </x:c>
      <x:c r="N33" s="26" t="str">
        <x:v>https://www.asdr.ch/</x:v>
      </x:c>
    </x:row>
    <x:row r="34">
      <x:c r="A34" s="26" t="str">
        <x:v>CPSE Alexandra Sàrl</x:v>
      </x:c>
      <x:c r="B34" s="26" t="str">
        <x:v>NO</x:v>
      </x:c>
      <x:c r="C34" s="26" t="str"/>
      <x:c r="D34" s="26" t="str"/>
      <x:c r="E34" s="26" t="str">
        <x:v>Avenue des Alpes 17</x:v>
      </x:c>
      <x:c r="F34" s="26" t="str">
        <x:v>1820 Montreux</x:v>
      </x:c>
      <x:c r="G34" s="26" t="str">
        <x:v>021 961 10 22</x:v>
      </x:c>
      <x:c r="H34" s="26" t="str">
        <x:v>cp.osad@cpsealexandra.ch</x:v>
      </x:c>
      <x:c r="I34" s="26" t="str">
        <x:v>https://cpsealexandra.ch/</x:v>
      </x:c>
      <x:c r="J34" s="26" t="str">
        <x:v>Riviera</x:v>
      </x:c>
      <x:c r="K34" s="26" t="str">
        <x:v>Psychiatric / institution-linked Type-1 home-care OSAD</x:v>
      </x:c>
      <x:c r="L34" s="26" t="str">
        <x:v>SPECIALIST STRUCTURAL REVIEW</x:v>
      </x:c>
      <x:c r="M34" s="26" t="str">
        <x:v>Current Haut-Léman Type-1 list and CPSE site show a dedicated home-care unit; absent from official 02.03.2026 workbook for unresolved reason.</x:v>
      </x:c>
      <x:c r="N34" s="26" t="str">
        <x:v>https://cpsealexandra.ch/</x:v>
      </x:c>
    </x:row>
    <x:row r="35">
      <x:c r="A35" s="26" t="str">
        <x:v>La Réponse Sàrl</x:v>
      </x:c>
      <x:c r="B35" s="26" t="str">
        <x:v>NO</x:v>
      </x:c>
      <x:c r="C35" s="26" t="str"/>
      <x:c r="D35" s="26" t="str"/>
      <x:c r="E35" s="26" t="str">
        <x:v>Avenue d'Agaune 2</x:v>
      </x:c>
      <x:c r="F35" s="26" t="str">
        <x:v>1890 St-Maurice</x:v>
      </x:c>
      <x:c r="G35" s="26" t="str">
        <x:v>076 209 88 88</x:v>
      </x:c>
      <x:c r="H35" s="26" t="str">
        <x:v>info@la-reponse.ch</x:v>
      </x:c>
      <x:c r="I35" s="26" t="str">
        <x:v>https://la-reponse.ch/</x:v>
      </x:c>
      <x:c r="J35" s="26" t="str">
        <x:v>Chablais vaudois + Valais</x:v>
      </x:c>
      <x:c r="K35" s="26" t="str">
        <x:v>Extra-cantonal Type-1 home-care provider</x:v>
      </x:c>
      <x:c r="L35" s="26" t="str">
        <x:v>NEW CANDIDATE — extra-cantonal Vaud coverage</x:v>
      </x:c>
      <x:c r="M35" s="26" t="str">
        <x:v>Current Haut-Léman list marks Chablais vaudois coverage; legal seat is in Valais.</x:v>
      </x:c>
      <x:c r="N35" s="26" t="str">
        <x:v>https://reseau-sante-haut-leman.ch/centres-medico-sociaux-cms-et-organisations-de-soins-a-domicile-privees-osad/</x:v>
      </x:c>
    </x:row>
    <x:row r="36">
      <x:c r="A36" s="26" t="str">
        <x:v>Dovida (Seniorendienste Schweiz AG)</x:v>
      </x:c>
      <x:c r="B36" s="26" t="str">
        <x:v>NO</x:v>
      </x:c>
      <x:c r="C36" s="26" t="str"/>
      <x:c r="D36" s="26" t="str"/>
      <x:c r="E36" s="26" t="str">
        <x:v>Route de Prilly 23</x:v>
      </x:c>
      <x:c r="F36" s="26" t="str">
        <x:v>1023 Crissier</x:v>
      </x:c>
      <x:c r="G36" s="26" t="str">
        <x:v>021 614 00 50</x:v>
      </x:c>
      <x:c r="H36" s="26" t="str">
        <x:v>info.romandie@dovida.ch</x:v>
      </x:c>
      <x:c r="I36" s="26" t="str">
        <x:v>https://dovida.ch/fr/local-office/lausanne/</x:v>
      </x:c>
      <x:c r="J36" s="26" t="str">
        <x:v>Lausanne / Vaud</x:v>
      </x:c>
      <x:c r="K36" s="26" t="str">
        <x:v>Extra-cantonal commercial home-care network</x:v>
      </x:c>
      <x:c r="L36" s="26" t="str">
        <x:v>RESOLVE EXISTING HOME INSTEAD/DOVIDA HOLD</x:v>
      </x:c>
      <x:c r="M36" s="26" t="str">
        <x:v>Current Vaud office and regional directories confirm Vaud service. Legal headquarters are outside Vaud; official workbook may omit some extra-cantonal providers.</x:v>
      </x:c>
      <x:c r="N36" s="26" t="str">
        <x:v>https://dovida.ch/fr/local-office/lausanne/</x:v>
      </x:c>
    </x:row>
    <x:row r="37">
      <x:c r="A37" s="26" t="str">
        <x:v>Sciensus AG</x:v>
      </x:c>
      <x:c r="B37" s="26" t="str">
        <x:v>NO</x:v>
      </x:c>
      <x:c r="C37" s="26" t="str"/>
      <x:c r="D37" s="26" t="str"/>
      <x:c r="E37" s="26" t="str">
        <x:v>Buonaserstrasse 30</x:v>
      </x:c>
      <x:c r="F37" s="26" t="str">
        <x:v>6343 Rotkreuz</x:v>
      </x:c>
      <x:c r="G37" s="26" t="str">
        <x:v>041 749 99 00</x:v>
      </x:c>
      <x:c r="H37" s="26" t="str">
        <x:v>spitex@sciensus.ch</x:v>
      </x:c>
      <x:c r="I37" s="26" t="str">
        <x:v>https://www.sciensus.ch/</x:v>
      </x:c>
      <x:c r="J37" s="26" t="str">
        <x:v>Riviera / Chablais VD / Pays-d'Enhaut</x:v>
      </x:c>
      <x:c r="K37" s="26" t="str">
        <x:v>Extra-cantonal specialist Type-1 OSAD</x:v>
      </x:c>
      <x:c r="L37" s="26" t="str">
        <x:v>NEW — specialist extra-cantonal provider</x:v>
      </x:c>
      <x:c r="M37" s="26" t="str">
        <x:v>Current Haut-Léman directory lists Sciensus as Type 1. Historical HTHC High Tech Home Care identity should be an alias, not a duplicate.</x:v>
      </x:c>
      <x:c r="N37" s="26" t="str">
        <x:v>https://reseau-sante-haut-leman.ch/centres-medico-sociaux-cms-et-organisations-de-soins-a-domicile-privees-osad/</x:v>
      </x:c>
    </x:row>
    <x:row r="38">
      <x:c r="A38" s="26" t="str">
        <x:v>Nurse Home Care Sàrl</x:v>
      </x:c>
      <x:c r="B38" s="26" t="str">
        <x:v>NO</x:v>
      </x:c>
      <x:c r="C38" s="26" t="str"/>
      <x:c r="D38" s="26" t="str"/>
      <x:c r="E38" s="26" t="str">
        <x:v>Rue des Charpentiers 26</x:v>
      </x:c>
      <x:c r="F38" s="26" t="str">
        <x:v>1110 Morges</x:v>
      </x:c>
      <x:c r="G38" s="26" t="str">
        <x:v>079 107 70 34</x:v>
      </x:c>
      <x:c r="H38" s="26" t="str"/>
      <x:c r="I38" s="26" t="str"/>
      <x:c r="J38" s="26" t="str">
        <x:v>La Côte</x:v>
      </x:c>
      <x:c r="K38" s="26" t="str">
        <x:v>Vaud-based Type-1 home-care OSAD</x:v>
      </x:c>
      <x:c r="L38" s="26" t="str">
        <x:v>CONFIRM AUTHORIZATION DATE THEN NEW</x:v>
      </x:c>
      <x:c r="M38" s="26" t="str">
        <x:v>Current La Côte directory lists it as Type 1; active Vaud legal entity. It is not in the uploaded 02.03.2026 official workbook.</x:v>
      </x:c>
      <x:c r="N38" s="26" t="str">
        <x:v>https://reseau-sante-lacote.ch/membres-affilies/</x:v>
      </x:c>
    </x:row>
    <x:row r="39">
      <x:c r="A39" s="26" t="str">
        <x:v>SoinVaud Sàrl</x:v>
      </x:c>
      <x:c r="B39" s="26" t="str">
        <x:v>NO</x:v>
      </x:c>
      <x:c r="C39" s="26" t="str"/>
      <x:c r="D39" s="26" t="str"/>
      <x:c r="E39" s="26" t="str">
        <x:v>Chemin des Berges 8</x:v>
      </x:c>
      <x:c r="F39" s="26" t="str">
        <x:v>1022 Chavannes-près-Renens</x:v>
      </x:c>
      <x:c r="G39" s="26" t="str">
        <x:v>021 552 00 54</x:v>
      </x:c>
      <x:c r="H39" s="26" t="str"/>
      <x:c r="I39" s="26" t="str"/>
      <x:c r="J39" s="26" t="str">
        <x:v>La Côte</x:v>
      </x:c>
      <x:c r="K39" s="26" t="str">
        <x:v>Vaud-based Type-1 home-care OSAD</x:v>
      </x:c>
      <x:c r="L39" s="26" t="str">
        <x:v>CONFIRM AUTHORIZATION DATE THEN NEW</x:v>
      </x:c>
      <x:c r="M39" s="26" t="str">
        <x:v>Current La Côte directory lists 'Soinsvaud' at this exact address/phone; legal entity is SoinVaud Sàrl (CHE-394.182.275), created May 2025.</x:v>
      </x:c>
      <x:c r="N39" s="26" t="str">
        <x:v>https://reseau-sante-lacote.ch/membres-affilies/</x:v>
      </x:c>
    </x:row>
  </x:sheetData>
  <x:conditionalFormatting sqref="B2:B39">
    <x:cfRule type="expression" dxfId="4" priority="1">
      <x:formula>B2="YES"</x:formula>
    </x:cfRule>
    <x:cfRule type="expression" dxfId="5" priority="2">
      <x:formula>B2="NO"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2" hidden="0" customWidth="1"/>
    <x:col min="3" max="3" width="60" hidden="0" customWidth="1"/>
    <x:col min="4" max="4" width="60" hidden="0" customWidth="1"/>
    <x:col min="5" max="5" width="16" hidden="0" customWidth="1"/>
    <x:col min="6" max="6" width="44" hidden="0" customWidth="1"/>
  </x:cols>
  <x:sheetData>
    <x:row r="1">
      <x:c r="A1" s="34" t="str">
        <x:v>Entity / cluster</x:v>
      </x:c>
      <x:c r="B1" s="26" t="str">
        <x:v>Issue</x:v>
      </x:c>
      <x:c r="C1" s="26" t="str">
        <x:v>What is now known</x:v>
      </x:c>
      <x:c r="D1" s="26" t="str">
        <x:v>Phase 5F decision needed</x:v>
      </x:c>
      <x:c r="E1" s="26" t="str">
        <x:v>Priority</x:v>
      </x:c>
      <x:c r="F1" s="26" t="str">
        <x:v>Primary source</x:v>
      </x:c>
    </x:row>
    <x:row r="2">
      <x:c r="A2" s="26" t="str">
        <x:v>AMAD Homecare SA + AMAD Homecare La Côte SA</x:v>
      </x:c>
      <x:c r="B2" s="26" t="str">
        <x:v>Organization/site structure</x:v>
      </x:c>
      <x:c r="C2" s="26" t="str">
        <x:v>Two active Vaud legal entities under the same public brand; public site shows Lutry, Yverdon and Nyon.</x:v>
      </x:c>
      <x:c r="D2" s="26" t="str">
        <x:v>Decide organization → provider/site model; avoid duplicate brand listings.</x:v>
      </x:c>
      <x:c r="E2" s="26" t="str">
        <x:v>HIGH</x:v>
      </x:c>
      <x:c r="F2" s="26" t="str">
        <x:v>https://amad-vaud.ch/contact/</x:v>
      </x:c>
    </x:row>
    <x:row r="3">
      <x:c r="A3" s="26" t="str">
        <x:v>Dovida / Home Instead</x:v>
      </x:c>
      <x:c r="B3" s="26" t="str">
        <x:v>Historical brand + legal/branch structure</x:v>
      </x:c>
      <x:c r="C3" s="26" t="str">
        <x:v>Current brand is Dovida; existing Lia legacy identity is held. Vaud office operates from Crissier.</x:v>
      </x:c>
      <x:c r="D3" s="26" t="str">
        <x:v>Map historical alias and current legal organization without duplicate listing.</x:v>
      </x:c>
      <x:c r="E3" s="26" t="str">
        <x:v>HIGH</x:v>
      </x:c>
      <x:c r="F3" s="26" t="str">
        <x:v>https://dovida.ch/fr/local-office/lausanne/</x:v>
      </x:c>
    </x:row>
    <x:row r="4">
      <x:c r="A4" s="26" t="str">
        <x:v>Vivradom + Vivradom Jura Nord Vaudois</x:v>
      </x:c>
      <x:c r="B4" s="26" t="str">
        <x:v>Organization/site relationship</x:v>
      </x:c>
      <x:c r="C4" s="26" t="str">
        <x:v>Two legal entities appear in the official workbook and regional directories.</x:v>
      </x:c>
      <x:c r="D4" s="26" t="str">
        <x:v>Determine whether Lia should expose two providers, one organization with sites, or both.</x:v>
      </x:c>
      <x:c r="E4" s="26" t="str">
        <x:v>HIGH</x:v>
      </x:c>
      <x:c r="F4" s="26" t="str">
        <x:v>https://www.vivradom.ch/</x:v>
      </x:c>
    </x:row>
    <x:row r="5">
      <x:c r="A5" s="26" t="str">
        <x:v>Pôle Santé du Pays-d'Enhaut</x:v>
      </x:c>
      <x:c r="B5" s="26" t="str">
        <x:v>CMS/OSAD overlap</x:v>
      </x:c>
      <x:c r="C5" s="26" t="str">
        <x:v>Official OSAD workbook includes it while the public CMS universe also contains the Pays-d'Enhaut delegated CMS.</x:v>
      </x:c>
      <x:c r="D5" s="26" t="str">
        <x:v>Prevent duplicate consumer listing; model organization and offering correctly.</x:v>
      </x:c>
      <x:c r="E5" s="26" t="str">
        <x:v>HIGH</x:v>
      </x:c>
      <x:c r="F5" s="26" t="str">
        <x:v>https://www.pspe.ch/jcms/pae_7779/fr/aide-soins-a-domicile</x:v>
      </x:c>
    </x:row>
    <x:row r="6">
      <x:c r="A6" s="26" t="str">
        <x:v>CPSE Alexandra</x:v>
      </x:c>
      <x:c r="B6" s="26" t="str">
        <x:v>Institution-linked psychiatric OSAD</x:v>
      </x:c>
      <x:c r="C6" s="26" t="str">
        <x:v>Current Haut-Léman Type-1 evidence + dedicated CP Alexandra home-care unit; absent from official file.</x:v>
      </x:c>
      <x:c r="D6" s="26" t="str">
        <x:v>Resolve operating unit and authorization basis before listing.</x:v>
      </x:c>
      <x:c r="E6" s="26" t="str">
        <x:v>MEDIUM-HIGH</x:v>
      </x:c>
      <x:c r="F6" s="26" t="str">
        <x:v>https://cpsealexandra.ch/</x:v>
      </x:c>
    </x:row>
    <x:row r="7">
      <x:c r="A7" s="26" t="str">
        <x:v>Nurse Home Care Sàrl</x:v>
      </x:c>
      <x:c r="B7" s="26" t="str">
        <x:v>Regional-only Type-1 evidence</x:v>
      </x:c>
      <x:c r="C7" s="26" t="str">
        <x:v>Active Vaud entity and current La Côte Type-1 member, but absent from official 02.03 workbook.</x:v>
      </x:c>
      <x:c r="D7" s="26" t="str">
        <x:v>Confirm current authorization date/source, then create if verified.</x:v>
      </x:c>
      <x:c r="E7" s="26" t="str">
        <x:v>MEDIUM-HIGH</x:v>
      </x:c>
      <x:c r="F7" s="26" t="str">
        <x:v>https://reseau-sante-lacote.ch/membres-affilies/</x:v>
      </x:c>
    </x:row>
    <x:row r="8">
      <x:c r="A8" s="26" t="str">
        <x:v>SoinVaud Sàrl</x:v>
      </x:c>
      <x:c r="B8" s="26" t="str">
        <x:v>Regional-only Type-1 evidence</x:v>
      </x:c>
      <x:c r="C8" s="26" t="str">
        <x:v>Legal identity now resolved; current La Côte list calls it Soinsvaud; absent from official 02.03 workbook.</x:v>
      </x:c>
      <x:c r="D8" s="26" t="str">
        <x:v>Confirm current authorization date/source, then create if verified.</x:v>
      </x:c>
      <x:c r="E8" s="26" t="str">
        <x:v>MEDIUM-HIGH</x:v>
      </x:c>
      <x:c r="F8" s="26" t="str">
        <x:v>https://reseau-sante-lacote.ch/membres-affilies/</x:v>
      </x:c>
    </x:row>
    <x:row r="9">
      <x:c r="A9" s="26" t="str">
        <x:v>La Boîte O Services / La Réponse</x:v>
      </x:c>
      <x:c r="B9" s="26" t="str">
        <x:v>Cross-cantonal relationship check</x:v>
      </x:c>
      <x:c r="C9" s="26" t="str">
        <x:v>Haut-Léman page shows La Réponse with a La Boîte O contact linkage in parentheses.</x:v>
      </x:c>
      <x:c r="D9" s="26" t="str">
        <x:v>Confirm whether this is partnership/referral/admin linkage or organizational relationship.</x:v>
      </x:c>
      <x:c r="E9" s="26" t="str">
        <x:v>MEDIUM</x:v>
      </x:c>
      <x:c r="F9" s="26" t="str">
        <x:v>https://reseau-sante-haut-leman.ch/centres-medico-sociaux-cms-et-organisations-de-soins-a-domicile-privees-osad/</x:v>
      </x:c>
    </x:row>
    <x:row r="10">
      <x:c r="A10" s="26" t="str">
        <x:v>Fondation Beau-Séjour</x:v>
      </x:c>
      <x:c r="B10" s="26" t="str">
        <x:v>Institution-linked OSAD</x:v>
      </x:c>
      <x:c r="C10" s="26" t="str">
        <x:v>Officially listed and current Type-1 evidence, but the organization also operates institutional care.</x:v>
      </x:c>
      <x:c r="D10" s="26" t="str">
        <x:v>Research exact home-care offering and patient-facing identity.</x:v>
      </x:c>
      <x:c r="E10" s="26" t="str">
        <x:v>MEDIUM</x:v>
      </x:c>
      <x:c r="F10" s="26" t="str">
        <x:v>https://reseau-sante-haut-leman.ch/centres-medico-sociaux-cms-et-organisations-de-soins-a-domicile-privees-osad/</x:v>
      </x:c>
    </x:row>
    <x:row r="11">
      <x:c r="A11" s="26" t="str">
        <x:v>Le Levant / Fondation du Levant</x:v>
      </x:c>
      <x:c r="B11" s="26" t="str">
        <x:v>Institution-linked OSAD</x:v>
      </x:c>
      <x:c r="C11" s="26" t="str">
        <x:v>Officially listed and current Type-1 evidence; likely specialist/institution-linked.</x:v>
      </x:c>
      <x:c r="D11" s="26" t="str">
        <x:v>Research offering scope before generic home-care presentation.</x:v>
      </x:c>
      <x:c r="E11" s="26" t="str">
        <x:v>MEDIUM</x:v>
      </x:c>
      <x:c r="F11" s="26" t="str">
        <x:v>https://reseau-sante-lacote.ch/membres-affilies/</x:v>
      </x:c>
    </x:row>
  </x:sheetData>
  <x:conditionalFormatting sqref="E2:E11">
    <x:cfRule type="expression" dxfId="6" priority="1">
      <x:formula>E2="HIGH"</x:formula>
    </x:cfRule>
    <x:cfRule type="expression" dxfId="7" priority="2">
      <x:formula>E2="MEDIUM-HIGH"</x:formula>
    </x:cfRule>
  </x:conditionalFormatting>
  <x:pageMargins left="0.7" right="0.7" top="0.75" bottom="0.75" header="0.3" footer="0.3"/>
</x:worksheet>
</file>